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-VALORES HH" sheetId="1" r:id="rId4"/>
    <sheet state="visible" name="EDT" sheetId="2" r:id="rId5"/>
    <sheet state="visible" name="GANTT" sheetId="3" r:id="rId6"/>
  </sheets>
  <definedNames/>
  <calcPr/>
  <extLst>
    <ext uri="GoogleSheetsCustomDataVersion2">
      <go:sheetsCustomData xmlns:go="http://customooxmlschemas.google.com/" r:id="rId7" roundtripDataChecksum="Ib0H15Sve5MTWXIGhGvO22RlsJ4v6aWap60KNcXh7Mo="/>
    </ext>
  </extLst>
</workbook>
</file>

<file path=xl/sharedStrings.xml><?xml version="1.0" encoding="utf-8"?>
<sst xmlns="http://schemas.openxmlformats.org/spreadsheetml/2006/main" count="469" uniqueCount="244">
  <si>
    <t>CALCULO ESFUERZO HH (HORAS HOMBRE) CAPITAL HUMANO</t>
  </si>
  <si>
    <t>COSTOS POR FASES</t>
  </si>
  <si>
    <t>JP</t>
  </si>
  <si>
    <t>AF</t>
  </si>
  <si>
    <t>DBA</t>
  </si>
  <si>
    <t>PG1</t>
  </si>
  <si>
    <t>PG2</t>
  </si>
  <si>
    <t>QA-TS</t>
  </si>
  <si>
    <t>COSTO FASE</t>
  </si>
  <si>
    <t>FASE ANALISIS PLANIFICACION</t>
  </si>
  <si>
    <t>FASE DE DISEÑO- ESPECIF.</t>
  </si>
  <si>
    <t>ACTOR</t>
  </si>
  <si>
    <t>N° HORAS</t>
  </si>
  <si>
    <t>VALOR HORA</t>
  </si>
  <si>
    <t>COSTO TOTAL HH</t>
  </si>
  <si>
    <t>FASE EJECUCION DESARROLLO</t>
  </si>
  <si>
    <t>FASE DE CIERRE</t>
  </si>
  <si>
    <t>COSTO HH PROYECTO</t>
  </si>
  <si>
    <t xml:space="preserve"> </t>
  </si>
  <si>
    <t>EDT</t>
  </si>
  <si>
    <t>T°  x Tarea</t>
  </si>
  <si>
    <t>Roles</t>
  </si>
  <si>
    <t>Dias/horas</t>
  </si>
  <si>
    <t>DICCIONARIO EDT</t>
  </si>
  <si>
    <t>Fase Análisis y Planificación</t>
  </si>
  <si>
    <t>Días</t>
  </si>
  <si>
    <t>Hrs.</t>
  </si>
  <si>
    <t>SIGLA ROL</t>
  </si>
  <si>
    <t>NOMBRE DEL ROL</t>
  </si>
  <si>
    <t>NOMBRE ACTOR</t>
  </si>
  <si>
    <t>1.2</t>
  </si>
  <si>
    <t xml:space="preserve">Kick Off                                           </t>
  </si>
  <si>
    <t>JEFE PROYECTO</t>
  </si>
  <si>
    <t>Roberto Olguin</t>
  </si>
  <si>
    <t>1.3</t>
  </si>
  <si>
    <t xml:space="preserve">Acta de Constitución de Proyecto                   </t>
  </si>
  <si>
    <t>ANALISTA FUNCIONAL</t>
  </si>
  <si>
    <t>Mario Galarce</t>
  </si>
  <si>
    <t>1.4</t>
  </si>
  <si>
    <t xml:space="preserve">Aprobación del Acta                                </t>
  </si>
  <si>
    <t>DESARROLLADOR. BASE DATOS</t>
  </si>
  <si>
    <t>Alvaro Quiroz</t>
  </si>
  <si>
    <t>1.5</t>
  </si>
  <si>
    <t xml:space="preserve">Definición de Requerimientos Generales             </t>
  </si>
  <si>
    <t>PROGRAMADOR 1</t>
  </si>
  <si>
    <t>1.6</t>
  </si>
  <si>
    <t xml:space="preserve">Plan y riesgos                                     </t>
  </si>
  <si>
    <t>QA- TESTING</t>
  </si>
  <si>
    <t>1.7</t>
  </si>
  <si>
    <t>Organización del Equipo</t>
  </si>
  <si>
    <t xml:space="preserve">Fase Planificación y Diseño </t>
  </si>
  <si>
    <t>2.1</t>
  </si>
  <si>
    <t xml:space="preserve">Prototipo Figma v1                                 </t>
  </si>
  <si>
    <t>2.2</t>
  </si>
  <si>
    <t xml:space="preserve">Test de usabilidad &amp; Prototipo v2                  </t>
  </si>
  <si>
    <t>2.3</t>
  </si>
  <si>
    <t xml:space="preserve">Diseño de la solución / modelamientos              </t>
  </si>
  <si>
    <t>2.4</t>
  </si>
  <si>
    <t xml:space="preserve">Modelo ER &amp; diccionario de datos                   </t>
  </si>
  <si>
    <t>2.5</t>
  </si>
  <si>
    <t xml:space="preserve">Estrategia API &amp; Swagger v1                        </t>
  </si>
  <si>
    <t>2.6</t>
  </si>
  <si>
    <t xml:space="preserve">Repo/ramas &amp; CI básica                             </t>
  </si>
  <si>
    <t>2.7</t>
  </si>
  <si>
    <t xml:space="preserve">Gantt                                              </t>
  </si>
  <si>
    <t>2.8</t>
  </si>
  <si>
    <t xml:space="preserve">Diseño inicial de sistema (prototipo UX alto niv.) </t>
  </si>
  <si>
    <t>2.9</t>
  </si>
  <si>
    <t xml:space="preserve">Propuesta ERS (especificación requisitos SW)       </t>
  </si>
  <si>
    <t>2.10</t>
  </si>
  <si>
    <t xml:space="preserve">Plan de proyecto (base calendaria)                 </t>
  </si>
  <si>
    <t>2.11</t>
  </si>
  <si>
    <t xml:space="preserve">Plan de riesgos (versión final)                    </t>
  </si>
  <si>
    <t>2.12</t>
  </si>
  <si>
    <t>Plan de gestión de calidad</t>
  </si>
  <si>
    <t>Fase Ejecución</t>
  </si>
  <si>
    <t>Implementación de la BD</t>
  </si>
  <si>
    <t>Todo esto es para solo 1 vista, tener en cuenta esto para las horas</t>
  </si>
  <si>
    <t>Implementación de la BD (ventana 09–21 oct)</t>
  </si>
  <si>
    <t>3.1.1</t>
  </si>
  <si>
    <t>Elegir y Levantar la base de datos para el sistema</t>
  </si>
  <si>
    <t>no todos tienen horas en cada hito/artefacto</t>
  </si>
  <si>
    <t>3.1.2</t>
  </si>
  <si>
    <t>Diseño del MER</t>
  </si>
  <si>
    <t>Llegar con todos los componentes y entregables para cargar horas</t>
  </si>
  <si>
    <t>3.1.3</t>
  </si>
  <si>
    <t>Crear Tablas Crud</t>
  </si>
  <si>
    <t>Integracion y prueba cada fin de entregable</t>
  </si>
  <si>
    <t>3.1.4</t>
  </si>
  <si>
    <t>Crear usuarios</t>
  </si>
  <si>
    <t>3.1.5</t>
  </si>
  <si>
    <t>Insertar datos</t>
  </si>
  <si>
    <t>Sistema Reserva</t>
  </si>
  <si>
    <t>3.2.1</t>
  </si>
  <si>
    <t>Motor de consulta de disponibilidad + prueba unitaria</t>
  </si>
  <si>
    <t>3.2.2</t>
  </si>
  <si>
    <t>Motor de reserva + Script + prueba unitaria</t>
  </si>
  <si>
    <t>3.2.3</t>
  </si>
  <si>
    <t>Formulario de pago Mercado Pago + Api + prueba unitaria</t>
  </si>
  <si>
    <t>3.2.4</t>
  </si>
  <si>
    <t>Vista pago realizado + Api ticket QR + prueba unitaria</t>
  </si>
  <si>
    <t>3.2.5</t>
  </si>
  <si>
    <t>Integración BD</t>
  </si>
  <si>
    <t>3.2.6</t>
  </si>
  <si>
    <t>Levantar página web</t>
  </si>
  <si>
    <t>3.2.7</t>
  </si>
  <si>
    <t>Integración del sistema</t>
  </si>
  <si>
    <t>Aplicación de Administrador del Sistema</t>
  </si>
  <si>
    <t>actualizar</t>
  </si>
  <si>
    <t>3.3.2</t>
  </si>
  <si>
    <t>Vista principal administrador</t>
  </si>
  <si>
    <t>3.3.3</t>
  </si>
  <si>
    <t xml:space="preserve">Motor de inicio de sesión + PU </t>
  </si>
  <si>
    <t>3.3.4</t>
  </si>
  <si>
    <t xml:space="preserve">Integración BD </t>
  </si>
  <si>
    <t>Vista eliminación/modificación de usuarios + PU</t>
  </si>
  <si>
    <t>3.3.5</t>
  </si>
  <si>
    <t>Integración de la aplicación del Admin.</t>
  </si>
  <si>
    <t xml:space="preserve">Servicios Adicionales </t>
  </si>
  <si>
    <t>3.4.1</t>
  </si>
  <si>
    <t xml:space="preserve">Inducción / capacitación a personal </t>
  </si>
  <si>
    <t>Fase de Cierre</t>
  </si>
  <si>
    <t>4.1</t>
  </si>
  <si>
    <t>Pruebas de Integración por Plataforma</t>
  </si>
  <si>
    <t>4.2</t>
  </si>
  <si>
    <t>Migración del Sistema a Producción</t>
  </si>
  <si>
    <t>4.3</t>
  </si>
  <si>
    <t>Pruebas unitarias a cada componente</t>
  </si>
  <si>
    <t>4.4</t>
  </si>
  <si>
    <t>Pruebas Finales de cada componente</t>
  </si>
  <si>
    <t>4.5</t>
  </si>
  <si>
    <t>Marcha Blanca</t>
  </si>
  <si>
    <t>4.6</t>
  </si>
  <si>
    <t>Capacitación / Manuales de Usuario</t>
  </si>
  <si>
    <t>4.7</t>
  </si>
  <si>
    <t>Plan de Proyecto Final</t>
  </si>
  <si>
    <t>4.8</t>
  </si>
  <si>
    <t>Presentación Solemne</t>
  </si>
  <si>
    <t>Hora hombre etc</t>
  </si>
  <si>
    <t>4.9</t>
  </si>
  <si>
    <t>Cierre del Proyecto</t>
  </si>
  <si>
    <t>4.10</t>
  </si>
  <si>
    <t>Carta de aceptación</t>
  </si>
  <si>
    <t>Días/Hrs. Totales</t>
  </si>
  <si>
    <t>MES 1</t>
  </si>
  <si>
    <t>MES 2</t>
  </si>
  <si>
    <t>MES 3</t>
  </si>
  <si>
    <t>MES 4</t>
  </si>
  <si>
    <t>MES 5</t>
  </si>
  <si>
    <t xml:space="preserve">N° </t>
  </si>
  <si>
    <t>SEMANAS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</si>
  <si>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</si>
  <si>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</si>
  <si>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</si>
  <si>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</si>
  <si>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</si>
  <si>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</si>
  <si>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</si>
  <si>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</si>
  <si>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</si>
  <si>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</si>
  <si>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</si>
  <si>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</si>
  <si>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</si>
  <si>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</si>
  <si>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</si>
  <si>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</si>
  <si>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</si>
  <si>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</si>
  <si>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FASE ANALÍSIS Y PLANIFICACIÓN</t>
  </si>
  <si>
    <t>L</t>
  </si>
  <si>
    <t>M</t>
  </si>
  <si>
    <t>J</t>
  </si>
  <si>
    <t>V</t>
  </si>
  <si>
    <t>S</t>
  </si>
  <si>
    <t>D</t>
  </si>
  <si>
    <t xml:space="preserve">Kick Off             </t>
  </si>
  <si>
    <t xml:space="preserve">Acta de Constitución                </t>
  </si>
  <si>
    <t xml:space="preserve">Aprobación del Acta                          </t>
  </si>
  <si>
    <t xml:space="preserve">Definición Requerimientos Generales                   </t>
  </si>
  <si>
    <t>Plan y riesgos</t>
  </si>
  <si>
    <t xml:space="preserve">Organización del Equipo                                      </t>
  </si>
  <si>
    <t>FASE DE DISEÑO</t>
  </si>
  <si>
    <t>7</t>
  </si>
  <si>
    <t xml:space="preserve">Prototipo balsamic v1 </t>
  </si>
  <si>
    <t>8</t>
  </si>
  <si>
    <t xml:space="preserve">Test de usabilidad &amp; Prototipo v2 </t>
  </si>
  <si>
    <t>9</t>
  </si>
  <si>
    <t>Diseño de la solución / modelamientos</t>
  </si>
  <si>
    <t>10</t>
  </si>
  <si>
    <t xml:space="preserve">Modelo ER &amp; diccionario de datos </t>
  </si>
  <si>
    <t>F</t>
  </si>
  <si>
    <t>11</t>
  </si>
  <si>
    <t xml:space="preserve">Estrategia API &amp; Swagger v1 </t>
  </si>
  <si>
    <t>12</t>
  </si>
  <si>
    <t>Repo/ramas &amp; CI básica</t>
  </si>
  <si>
    <t>13</t>
  </si>
  <si>
    <t>Gantt</t>
  </si>
  <si>
    <t>14</t>
  </si>
  <si>
    <t>Diseño inicial de sistema</t>
  </si>
  <si>
    <t>15</t>
  </si>
  <si>
    <t>Propuesta ERS</t>
  </si>
  <si>
    <t>16</t>
  </si>
  <si>
    <t>Plan de proyecto</t>
  </si>
  <si>
    <t>17</t>
  </si>
  <si>
    <t>Plan de riesgos</t>
  </si>
  <si>
    <t>18</t>
  </si>
  <si>
    <t>FASE DE EJECUCIÓN</t>
  </si>
  <si>
    <t>Elegir y Levantar la base de datos</t>
  </si>
  <si>
    <t>Crear Tablas CRUD</t>
  </si>
  <si>
    <t>Bloques funcionales</t>
  </si>
  <si>
    <t>API Core v1 (Auth, Clientes, Mascotas)</t>
  </si>
  <si>
    <t>Seguridad base</t>
  </si>
  <si>
    <t>UI base &amp; navegación</t>
  </si>
  <si>
    <t>Agenda v1</t>
  </si>
  <si>
    <t>Recordatorios &amp; correo</t>
  </si>
  <si>
    <t>UI Agenda v1</t>
  </si>
  <si>
    <t>Catálogo &amp; Carrito v1</t>
  </si>
  <si>
    <t>UI Catálogo &amp; filtros</t>
  </si>
  <si>
    <t>UI Carrito/Checkout v1</t>
  </si>
  <si>
    <t>Pagos</t>
  </si>
  <si>
    <t>Venta</t>
  </si>
  <si>
    <t>Pedidos &amp; comprobante</t>
  </si>
  <si>
    <t>Panel Admin v1</t>
  </si>
  <si>
    <t>Paginación/Búsqueda</t>
  </si>
  <si>
    <t>QA integral</t>
  </si>
  <si>
    <t>Accesibilidad</t>
  </si>
  <si>
    <t>Despliegue demo</t>
  </si>
  <si>
    <t>Backups &amp; DR</t>
  </si>
  <si>
    <t>Motor de consulta de disponibilidad</t>
  </si>
  <si>
    <t>Motor de reserva</t>
  </si>
  <si>
    <t>Vista pago realizado</t>
  </si>
  <si>
    <t>Motor de inicio de sesión</t>
  </si>
  <si>
    <t>Integración BD (admin)</t>
  </si>
  <si>
    <t>Documentación completa + video — Manual usuario/técnico, API, demo</t>
  </si>
  <si>
    <t>Pre-entrega → Correcciones → Defensa/Entrega — Entrega final aprobada</t>
  </si>
  <si>
    <t>SIMBOLOGIA</t>
  </si>
  <si>
    <t>CONTROL INTERNO</t>
  </si>
  <si>
    <t>CI</t>
  </si>
  <si>
    <t>REUNION CLIENTE</t>
  </si>
  <si>
    <t>RC</t>
  </si>
  <si>
    <t>HITO ENTREGA</t>
  </si>
  <si>
    <t>E</t>
  </si>
  <si>
    <t>DIA INACTIVO /FERIADO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</si>
</sst>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 &quot;$&quot;* #,##0_ ;_ &quot;$&quot;* \-#,##0_ ;_ &quot;$&quot;* &quot;-&quot;_ ;_ @_ "/>
    <numFmt numFmtId="165" formatCode="&quot;$&quot;#,##0"/>
    <numFmt numFmtId="166" formatCode="&quot;$&quot;#,##0;&quot;$&quot;\-\ #,##0"/>
  </numFmts>
  <fonts count="41">
    <font>
      <sz val="10.0"/>
      <color rgb="FF000000"/>
      <name val="Arial"/>
      <scheme val="minor"/>
    </font>
    <font>
      <b/>
      <sz val="11.0"/>
      <color rgb="FFFFFFFF"/>
      <name val="Calibri"/>
    </font>
    <font/>
    <font>
      <sz val="10.0"/>
      <color theme="0"/>
      <name val="Calibri"/>
    </font>
    <font>
      <sz val="10.0"/>
      <color rgb="FFFFFFFF"/>
      <name val="Calibri"/>
    </font>
    <font>
      <b/>
      <sz val="10.0"/>
      <color theme="1"/>
      <name val="Calibri"/>
    </font>
    <font>
      <sz val="10.0"/>
      <color theme="1"/>
      <name val="Calibri"/>
    </font>
    <font>
      <sz val="10.0"/>
      <color rgb="FF000000"/>
      <name val="Calibri"/>
    </font>
    <font>
      <b/>
      <sz val="11.0"/>
      <color theme="0"/>
      <name val="Calibri"/>
    </font>
    <font>
      <b/>
      <sz val="12.0"/>
      <color theme="0"/>
      <name val="Calibri"/>
    </font>
    <font>
      <color theme="1"/>
      <name val="Arial"/>
    </font>
    <font>
      <b/>
      <sz val="11.0"/>
      <color rgb="FF000000"/>
      <name val="Calibri"/>
    </font>
    <font>
      <b/>
      <sz val="11.0"/>
      <color rgb="FFFFFFFF"/>
      <name val="Arial"/>
    </font>
    <font>
      <b/>
      <sz val="8.0"/>
      <color rgb="FFFFFFFF"/>
      <name val="Arial"/>
    </font>
    <font>
      <sz val="8.0"/>
      <color theme="0"/>
      <name val="Arial"/>
    </font>
    <font>
      <sz val="8.0"/>
      <color rgb="FFFFFFFF"/>
      <name val="Arial"/>
    </font>
    <font>
      <sz val="18.0"/>
      <color theme="0"/>
      <name val="Calibri"/>
    </font>
    <font>
      <b/>
      <sz val="18.0"/>
      <color theme="0"/>
      <name val="Calibri"/>
    </font>
    <font>
      <b/>
      <sz val="10.0"/>
      <color theme="0"/>
      <name val="Arial"/>
    </font>
    <font>
      <sz val="8.0"/>
      <color rgb="FF000000"/>
      <name val="Arial"/>
    </font>
    <font>
      <sz val="11.0"/>
      <color rgb="FF000000"/>
      <name val="Arial"/>
    </font>
    <font>
      <sz val="10.0"/>
      <color theme="1"/>
      <name val="Arial"/>
    </font>
    <font>
      <b/>
      <sz val="18.0"/>
      <color rgb="FFFFFFFF"/>
      <name val="Calibri"/>
    </font>
    <font>
      <sz val="14.0"/>
      <color rgb="FF000000"/>
      <name val="Calibri"/>
    </font>
    <font>
      <sz val="11.0"/>
      <color rgb="FFFFFFFF"/>
      <name val="Calibri"/>
    </font>
    <font>
      <sz val="8.0"/>
      <color theme="1"/>
      <name val="Arial"/>
    </font>
    <font>
      <sz val="9.0"/>
      <color rgb="FF1F1F1F"/>
      <name val="Arial"/>
    </font>
    <font>
      <sz val="12.0"/>
      <color rgb="FFFFFFFF"/>
      <name val="Calibri"/>
    </font>
    <font>
      <b/>
      <sz val="16.0"/>
      <color theme="0"/>
      <name val="Arial"/>
    </font>
    <font>
      <color theme="1"/>
      <name val="Arial"/>
      <scheme val="minor"/>
    </font>
    <font>
      <b/>
      <sz val="18.0"/>
      <color theme="0"/>
      <name val="Arial"/>
    </font>
    <font>
      <sz val="14.0"/>
      <color rgb="FFFFFFFF"/>
      <name val="Arial"/>
    </font>
    <font>
      <sz val="14.0"/>
      <color theme="0"/>
      <name val="Arial"/>
    </font>
    <font>
      <sz val="10.0"/>
      <color rgb="FF000000"/>
      <name val="Arial"/>
    </font>
    <font>
      <sz val="11.0"/>
      <color theme="0"/>
      <name val="Arial"/>
    </font>
    <font>
      <sz val="11.0"/>
      <color theme="1"/>
      <name val="Arial"/>
    </font>
    <font>
      <b/>
      <sz val="11.0"/>
      <color theme="0"/>
      <name val="Arial"/>
    </font>
    <font>
      <sz val="11.0"/>
      <color rgb="FFFFFFFF"/>
      <name val="Arial"/>
    </font>
    <font>
      <sz val="10.0"/>
      <color rgb="FFFFFFFF"/>
      <name val="Arial"/>
    </font>
    <font>
      <color rgb="FFCC0000"/>
      <name val="Arial"/>
      <scheme val="minor"/>
    </font>
    <font>
      <b/>
      <sz val="11.0"/>
      <color rgb="FF000000"/>
      <name val="Arial"/>
    </font>
  </fonts>
  <fills count="31">
    <fill>
      <patternFill patternType="none"/>
    </fill>
    <fill>
      <patternFill patternType="lightGray"/>
    </fill>
    <fill>
      <patternFill patternType="solid">
        <fgColor rgb="FF244061"/>
        <bgColor rgb="FF244061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B618E"/>
        <bgColor rgb="FF3B618E"/>
      </patternFill>
    </fill>
    <fill>
      <patternFill patternType="solid">
        <fgColor rgb="FF366092"/>
        <bgColor rgb="FF366092"/>
      </patternFill>
    </fill>
    <fill>
      <patternFill patternType="solid">
        <fgColor rgb="FFB9CDE5"/>
        <bgColor rgb="FFB9CDE5"/>
      </patternFill>
    </fill>
    <fill>
      <patternFill patternType="solid">
        <fgColor rgb="FFDCE6F2"/>
        <bgColor rgb="FFDCE6F2"/>
      </patternFill>
    </fill>
    <fill>
      <patternFill patternType="solid">
        <fgColor rgb="FF7F7F7F"/>
        <bgColor rgb="FF7F7F7F"/>
      </patternFill>
    </fill>
    <fill>
      <patternFill patternType="solid">
        <fgColor rgb="FFDDD9C3"/>
        <bgColor rgb="FFDDD9C3"/>
      </patternFill>
    </fill>
    <fill>
      <patternFill patternType="solid">
        <fgColor theme="4"/>
        <bgColor theme="4"/>
      </patternFill>
    </fill>
    <fill>
      <patternFill patternType="solid">
        <fgColor rgb="FFFDE9D9"/>
        <bgColor rgb="FFFDE9D9"/>
      </patternFill>
    </fill>
    <fill>
      <patternFill patternType="solid">
        <fgColor rgb="FFFBD4B4"/>
        <bgColor rgb="FFFBD4B4"/>
      </patternFill>
    </fill>
    <fill>
      <patternFill patternType="solid">
        <fgColor rgb="FFE5B8B7"/>
        <bgColor rgb="FFE5B8B7"/>
      </patternFill>
    </fill>
    <fill>
      <patternFill patternType="solid">
        <fgColor rgb="FF777671"/>
        <bgColor rgb="FF777671"/>
      </patternFill>
    </fill>
    <fill>
      <patternFill patternType="solid">
        <fgColor theme="5"/>
        <bgColor theme="5"/>
      </patternFill>
    </fill>
    <fill>
      <patternFill patternType="solid">
        <fgColor rgb="FFFFC000"/>
        <bgColor rgb="FFFFC000"/>
      </patternFill>
    </fill>
    <fill>
      <patternFill patternType="solid">
        <fgColor theme="8"/>
        <bgColor theme="8"/>
      </patternFill>
    </fill>
    <fill>
      <patternFill patternType="solid">
        <fgColor rgb="FFF3F3F3"/>
        <bgColor rgb="FFF3F3F3"/>
      </patternFill>
    </fill>
    <fill>
      <patternFill patternType="solid">
        <fgColor theme="7"/>
        <bgColor theme="7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134F5C"/>
        <bgColor rgb="FF134F5C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85200C"/>
        <bgColor rgb="FF85200C"/>
      </patternFill>
    </fill>
    <fill>
      <patternFill patternType="solid">
        <fgColor rgb="FF000000"/>
        <bgColor rgb="FF000000"/>
      </patternFill>
    </fill>
    <fill>
      <patternFill patternType="solid">
        <fgColor rgb="FF95B3D7"/>
        <bgColor rgb="FF95B3D7"/>
      </patternFill>
    </fill>
    <fill>
      <patternFill patternType="solid">
        <fgColor rgb="FF0D0D0D"/>
        <bgColor rgb="FF0D0D0D"/>
      </patternFill>
    </fill>
    <fill>
      <patternFill patternType="solid">
        <fgColor rgb="FFC00000"/>
        <bgColor rgb="FFC00000"/>
      </patternFill>
    </fill>
  </fills>
  <borders count="4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1F497D"/>
      </left>
      <right style="thin">
        <color rgb="FF1F497D"/>
      </right>
      <top style="thin">
        <color rgb="FF1F497D"/>
      </top>
      <bottom style="thin">
        <color rgb="FF1F497D"/>
      </bottom>
    </border>
    <border>
      <left style="thin">
        <color rgb="FF1F497D"/>
      </left>
      <top style="thin">
        <color rgb="FF1F497D"/>
      </top>
      <bottom style="thin">
        <color rgb="FF1F497D"/>
      </bottom>
    </border>
    <border>
      <top style="thin">
        <color rgb="FF1F497D"/>
      </top>
      <bottom style="thin">
        <color rgb="FF1F497D"/>
      </bottom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top/>
      <bottom/>
    </border>
    <border>
      <left style="thin">
        <color rgb="FF1F497D"/>
      </left>
      <bottom style="thin">
        <color rgb="FF1F497D"/>
      </bottom>
    </border>
    <border>
      <right style="thin">
        <color rgb="FF1F497D"/>
      </right>
      <bottom style="thin">
        <color rgb="FF1F497D"/>
      </bottom>
    </border>
    <border>
      <right style="thin">
        <color rgb="FF1F497D"/>
      </right>
      <top style="thin">
        <color rgb="FF1F497D"/>
      </top>
      <bottom style="thin">
        <color rgb="FF1F497D"/>
      </bottom>
    </border>
    <border>
      <left/>
      <right style="thin">
        <color rgb="FF1F497D"/>
      </right>
      <top style="thin">
        <color rgb="FF1F497D"/>
      </top>
      <bottom style="thin">
        <color rgb="FF1F497D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1F497D"/>
      </left>
      <right/>
      <top style="thin">
        <color rgb="FF1F497D"/>
      </top>
      <bottom style="thin">
        <color rgb="FF1F497D"/>
      </bottom>
    </border>
    <border>
      <left style="thin">
        <color rgb="FF000000"/>
      </left>
      <right style="thin">
        <color rgb="FF000000"/>
      </right>
      <top/>
    </border>
    <border>
      <left/>
      <right style="thin">
        <color rgb="FF1F497D"/>
      </right>
      <top style="thin">
        <color rgb="FF1F497D"/>
      </top>
    </border>
    <border>
      <left style="thin">
        <color rgb="FF1F497D"/>
      </left>
      <right style="thin">
        <color rgb="FF1F497D"/>
      </right>
      <top style="thin">
        <color rgb="FF1F497D"/>
      </top>
    </border>
    <border>
      <left style="thin">
        <color rgb="FF1F497D"/>
      </left>
      <top style="thin">
        <color rgb="FF1F497D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1F497D"/>
      </right>
      <bottom style="thin">
        <color rgb="FF1F497D"/>
      </bottom>
    </border>
    <border>
      <left style="thin">
        <color rgb="FF1F497D"/>
      </left>
      <right style="thin">
        <color rgb="FF1F497D"/>
      </right>
      <bottom style="thin">
        <color rgb="FF1F497D"/>
      </bottom>
    </border>
    <border>
      <left style="thin">
        <color rgb="FF1F497D"/>
      </left>
      <right style="thin">
        <color rgb="FF1F497D"/>
      </right>
      <top/>
      <bottom/>
    </border>
    <border>
      <left style="thin">
        <color rgb="FF000000"/>
      </left>
      <right style="thin">
        <color rgb="FF1F497D"/>
      </right>
      <top style="thin">
        <color rgb="FF1F497D"/>
      </top>
      <bottom style="thin">
        <color rgb="FF1F497D"/>
      </bottom>
    </border>
    <border>
      <left style="thin">
        <color rgb="FF000000"/>
      </left>
      <right style="thin">
        <color rgb="FF1F497D"/>
      </right>
      <bottom style="thin">
        <color rgb="FF1F497D"/>
      </bottom>
    </border>
    <border>
      <left style="thin">
        <color rgb="FF1F497D"/>
      </left>
      <right style="thin">
        <color rgb="FF1F497D"/>
      </right>
      <top/>
      <bottom style="thin">
        <color rgb="FF1F497D"/>
      </bottom>
    </border>
    <border>
      <top style="thin">
        <color rgb="FF000000"/>
      </top>
      <bottom style="thin">
        <color rgb="FF000000"/>
      </bottom>
    </border>
    <border>
      <left style="thin">
        <color rgb="FF366092"/>
      </left>
      <right/>
      <bottom style="thin">
        <color rgb="FF366092"/>
      </bottom>
    </border>
    <border>
      <left style="thin">
        <color rgb="FF366092"/>
      </left>
      <right style="thin">
        <color rgb="FF366092"/>
      </right>
      <bottom style="thin">
        <color rgb="FF366092"/>
      </bottom>
    </border>
    <border>
      <left style="thin">
        <color rgb="FF366092"/>
      </left>
      <top style="thin">
        <color rgb="FF366092"/>
      </top>
      <bottom style="thin">
        <color rgb="FF366092"/>
      </bottom>
    </border>
    <border>
      <right style="thin">
        <color rgb="FF366092"/>
      </right>
      <top style="thin">
        <color rgb="FF366092"/>
      </top>
      <bottom style="thin">
        <color rgb="FF366092"/>
      </bottom>
    </border>
    <border>
      <left style="thin">
        <color rgb="FF366092"/>
      </left>
      <right style="thin">
        <color rgb="FF366092"/>
      </right>
      <top style="thin">
        <color rgb="FF366092"/>
      </top>
      <bottom style="thin">
        <color rgb="FF366092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4" fillId="2" fontId="3" numFmtId="0" xfId="0" applyAlignment="1" applyBorder="1" applyFont="1">
      <alignment vertical="center"/>
    </xf>
    <xf borderId="4" fillId="2" fontId="4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4" fillId="3" fontId="5" numFmtId="0" xfId="0" applyAlignment="1" applyBorder="1" applyFill="1" applyFont="1">
      <alignment vertical="bottom"/>
    </xf>
    <xf borderId="4" fillId="0" fontId="6" numFmtId="164" xfId="0" applyAlignment="1" applyBorder="1" applyFont="1" applyNumberFormat="1">
      <alignment vertical="center"/>
    </xf>
    <xf borderId="4" fillId="0" fontId="7" numFmtId="164" xfId="0" applyAlignment="1" applyBorder="1" applyFont="1" applyNumberFormat="1">
      <alignment vertical="center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4" fillId="3" fontId="5" numFmtId="0" xfId="0" applyAlignment="1" applyBorder="1" applyFont="1">
      <alignment vertical="center"/>
    </xf>
    <xf borderId="4" fillId="0" fontId="7" numFmtId="0" xfId="0" applyAlignment="1" applyBorder="1" applyFont="1">
      <alignment horizontal="left" vertical="bottom"/>
    </xf>
    <xf borderId="10" fillId="0" fontId="7" numFmtId="0" xfId="0" applyAlignment="1" applyBorder="1" applyFont="1">
      <alignment horizontal="left" vertical="bottom"/>
    </xf>
    <xf borderId="10" fillId="0" fontId="7" numFmtId="0" xfId="0" applyAlignment="1" applyBorder="1" applyFont="1">
      <alignment horizontal="center" vertical="bottom"/>
    </xf>
    <xf borderId="4" fillId="0" fontId="7" numFmtId="165" xfId="0" applyAlignment="1" applyBorder="1" applyFont="1" applyNumberFormat="1">
      <alignment horizontal="right" vertical="bottom"/>
    </xf>
    <xf borderId="11" fillId="2" fontId="8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11" fillId="2" fontId="9" numFmtId="164" xfId="0" applyAlignment="1" applyBorder="1" applyFont="1" applyNumberFormat="1">
      <alignment vertical="center"/>
    </xf>
    <xf borderId="0" fillId="0" fontId="10" numFmtId="0" xfId="0" applyAlignment="1" applyFont="1">
      <alignment vertical="center"/>
    </xf>
    <xf borderId="10" fillId="2" fontId="4" numFmtId="0" xfId="0" applyAlignment="1" applyBorder="1" applyFont="1">
      <alignment horizontal="center" vertical="bottom"/>
    </xf>
    <xf borderId="12" fillId="0" fontId="2" numFmtId="0" xfId="0" applyAlignment="1" applyBorder="1" applyFont="1">
      <alignment vertical="center"/>
    </xf>
    <xf borderId="4" fillId="2" fontId="4" numFmtId="166" xfId="0" applyAlignment="1" applyBorder="1" applyFont="1" applyNumberFormat="1">
      <alignment horizontal="right" vertical="bottom"/>
    </xf>
    <xf borderId="0" fillId="0" fontId="7" numFmtId="0" xfId="0" applyAlignment="1" applyFont="1">
      <alignment horizontal="center" vertical="bottom"/>
    </xf>
    <xf borderId="0" fillId="4" fontId="1" numFmtId="0" xfId="0" applyAlignment="1" applyFill="1" applyFont="1">
      <alignment horizontal="center" vertical="center"/>
    </xf>
    <xf borderId="0" fillId="4" fontId="11" numFmtId="0" xfId="0" applyAlignment="1" applyFont="1">
      <alignment horizontal="center" vertical="center"/>
    </xf>
    <xf borderId="13" fillId="5" fontId="12" numFmtId="0" xfId="0" applyAlignment="1" applyBorder="1" applyFill="1" applyFont="1">
      <alignment horizontal="left" vertical="bottom"/>
    </xf>
    <xf borderId="13" fillId="5" fontId="13" numFmtId="0" xfId="0" applyAlignment="1" applyBorder="1" applyFont="1">
      <alignment horizontal="left" vertical="bottom"/>
    </xf>
    <xf borderId="14" fillId="5" fontId="13" numFmtId="0" xfId="0" applyAlignment="1" applyBorder="1" applyFont="1">
      <alignment horizontal="center" vertical="bottom"/>
    </xf>
    <xf borderId="15" fillId="0" fontId="2" numFmtId="0" xfId="0" applyAlignment="1" applyBorder="1" applyFont="1">
      <alignment vertical="center"/>
    </xf>
    <xf borderId="0" fillId="4" fontId="13" numFmtId="0" xfId="0" applyAlignment="1" applyFont="1">
      <alignment horizontal="center" vertical="bottom"/>
    </xf>
    <xf borderId="13" fillId="2" fontId="14" numFmtId="0" xfId="0" applyAlignment="1" applyBorder="1" applyFont="1">
      <alignment horizontal="left" vertical="bottom"/>
    </xf>
    <xf borderId="13" fillId="2" fontId="15" numFmtId="0" xfId="0" applyAlignment="1" applyBorder="1" applyFont="1">
      <alignment horizontal="left" vertical="bottom"/>
    </xf>
    <xf borderId="14" fillId="2" fontId="15" numFmtId="0" xfId="0" applyAlignment="1" applyBorder="1" applyFont="1">
      <alignment horizontal="left" vertical="bottom"/>
    </xf>
    <xf borderId="0" fillId="4" fontId="15" numFmtId="0" xfId="0" applyAlignment="1" applyFont="1">
      <alignment shrinkToFit="0" vertical="bottom" wrapText="1"/>
    </xf>
    <xf borderId="0" fillId="0" fontId="6" numFmtId="0" xfId="0" applyAlignment="1" applyFont="1">
      <alignment vertical="center"/>
    </xf>
    <xf borderId="13" fillId="2" fontId="16" numFmtId="0" xfId="0" applyAlignment="1" applyBorder="1" applyFont="1">
      <alignment horizontal="left" vertical="bottom"/>
    </xf>
    <xf borderId="16" fillId="2" fontId="17" numFmtId="0" xfId="0" applyAlignment="1" applyBorder="1" applyFont="1">
      <alignment vertical="bottom"/>
    </xf>
    <xf borderId="14" fillId="2" fontId="15" numFmtId="0" xfId="0" applyAlignment="1" applyBorder="1" applyFont="1">
      <alignment horizontal="center" vertical="bottom"/>
    </xf>
    <xf borderId="0" fillId="4" fontId="15" numFmtId="0" xfId="0" applyAlignment="1" applyFont="1">
      <alignment horizontal="center" vertical="bottom"/>
    </xf>
    <xf borderId="17" fillId="5" fontId="12" numFmtId="0" xfId="0" applyAlignment="1" applyBorder="1" applyFont="1">
      <alignment horizontal="left" vertical="bottom"/>
    </xf>
    <xf borderId="18" fillId="6" fontId="18" numFmtId="0" xfId="0" applyAlignment="1" applyBorder="1" applyFill="1" applyFont="1">
      <alignment horizontal="center" shrinkToFit="0" vertical="bottom" wrapText="1"/>
    </xf>
    <xf borderId="19" fillId="0" fontId="2" numFmtId="0" xfId="0" applyAlignment="1" applyBorder="1" applyFont="1">
      <alignment vertical="center"/>
    </xf>
    <xf borderId="13" fillId="0" fontId="7" numFmtId="0" xfId="0" applyAlignment="1" applyBorder="1" applyFont="1">
      <alignment horizontal="left" vertical="bottom"/>
    </xf>
    <xf borderId="4" fillId="3" fontId="6" numFmtId="0" xfId="0" applyAlignment="1" applyBorder="1" applyFont="1">
      <alignment readingOrder="0" vertical="center"/>
    </xf>
    <xf borderId="13" fillId="7" fontId="19" numFmtId="0" xfId="0" applyAlignment="1" applyBorder="1" applyFill="1" applyFont="1">
      <alignment horizontal="center" vertical="bottom"/>
    </xf>
    <xf borderId="13" fillId="8" fontId="19" numFmtId="0" xfId="0" applyAlignment="1" applyBorder="1" applyFill="1" applyFont="1">
      <alignment horizontal="center" vertical="bottom"/>
    </xf>
    <xf borderId="13" fillId="0" fontId="19" numFmtId="0" xfId="0" applyAlignment="1" applyBorder="1" applyFont="1">
      <alignment horizontal="center" vertical="bottom"/>
    </xf>
    <xf borderId="14" fillId="8" fontId="19" numFmtId="0" xfId="0" applyAlignment="1" applyBorder="1" applyFont="1">
      <alignment horizontal="center" vertical="bottom"/>
    </xf>
    <xf borderId="4" fillId="0" fontId="19" numFmtId="0" xfId="0" applyAlignment="1" applyBorder="1" applyFont="1">
      <alignment horizontal="center" vertical="bottom"/>
    </xf>
    <xf borderId="0" fillId="4" fontId="19" numFmtId="0" xfId="0" applyAlignment="1" applyFont="1">
      <alignment horizontal="center" vertical="bottom"/>
    </xf>
    <xf borderId="4" fillId="0" fontId="20" numFmtId="0" xfId="0" applyAlignment="1" applyBorder="1" applyFont="1">
      <alignment horizontal="left" vertical="bottom"/>
    </xf>
    <xf borderId="13" fillId="0" fontId="21" numFmtId="0" xfId="0" applyAlignment="1" applyBorder="1" applyFont="1">
      <alignment vertical="center"/>
    </xf>
    <xf borderId="20" fillId="0" fontId="21" numFmtId="0" xfId="0" applyAlignment="1" applyBorder="1" applyFont="1">
      <alignment horizontal="left" readingOrder="0" shrinkToFit="0" vertical="bottom" wrapText="1"/>
    </xf>
    <xf borderId="21" fillId="0" fontId="2" numFmtId="0" xfId="0" applyAlignment="1" applyBorder="1" applyFont="1">
      <alignment vertical="center"/>
    </xf>
    <xf borderId="13" fillId="7" fontId="19" numFmtId="0" xfId="0" applyAlignment="1" applyBorder="1" applyFont="1">
      <alignment horizontal="center" readingOrder="0" vertical="bottom"/>
    </xf>
    <xf borderId="14" fillId="0" fontId="21" numFmtId="0" xfId="0" applyAlignment="1" applyBorder="1" applyFont="1">
      <alignment horizontal="left" readingOrder="0" shrinkToFit="0" vertical="bottom" wrapText="1"/>
    </xf>
    <xf borderId="22" fillId="0" fontId="2" numFmtId="0" xfId="0" applyAlignment="1" applyBorder="1" applyFont="1">
      <alignment vertical="center"/>
    </xf>
    <xf borderId="4" fillId="3" fontId="6" numFmtId="0" xfId="0" applyAlignment="1" applyBorder="1" applyFont="1">
      <alignment readingOrder="0" vertical="bottom"/>
    </xf>
    <xf borderId="13" fillId="0" fontId="20" numFmtId="0" xfId="0" applyAlignment="1" applyBorder="1" applyFont="1">
      <alignment horizontal="left" vertical="bottom"/>
    </xf>
    <xf borderId="4" fillId="2" fontId="22" numFmtId="0" xfId="0" applyAlignment="1" applyBorder="1" applyFont="1">
      <alignment vertical="bottom"/>
    </xf>
    <xf borderId="4" fillId="2" fontId="15" numFmtId="0" xfId="0" applyAlignment="1" applyBorder="1" applyFont="1">
      <alignment horizontal="left" vertical="bottom"/>
    </xf>
    <xf borderId="17" fillId="3" fontId="6" numFmtId="0" xfId="0" applyAlignment="1" applyBorder="1" applyFont="1">
      <alignment readingOrder="0" vertical="center"/>
    </xf>
    <xf borderId="4" fillId="4" fontId="7" numFmtId="0" xfId="0" applyAlignment="1" applyBorder="1" applyFont="1">
      <alignment readingOrder="0" shrinkToFit="0" vertical="center" wrapText="1"/>
    </xf>
    <xf borderId="23" fillId="7" fontId="19" numFmtId="0" xfId="0" applyAlignment="1" applyBorder="1" applyFont="1">
      <alignment horizontal="center" readingOrder="0" vertical="bottom"/>
    </xf>
    <xf borderId="23" fillId="7" fontId="19" numFmtId="0" xfId="0" applyAlignment="1" applyBorder="1" applyFont="1">
      <alignment horizontal="center" vertical="bottom"/>
    </xf>
    <xf borderId="24" fillId="3" fontId="6" numFmtId="0" xfId="0" applyAlignment="1" applyBorder="1" applyFont="1">
      <alignment readingOrder="0" vertical="bottom"/>
    </xf>
    <xf borderId="0" fillId="0" fontId="6" numFmtId="165" xfId="0" applyAlignment="1" applyFont="1" applyNumberFormat="1">
      <alignment vertical="center"/>
    </xf>
    <xf borderId="25" fillId="2" fontId="16" numFmtId="0" xfId="0" applyAlignment="1" applyBorder="1" applyFont="1">
      <alignment horizontal="left" vertical="bottom"/>
    </xf>
    <xf borderId="26" fillId="2" fontId="22" numFmtId="0" xfId="0" applyAlignment="1" applyBorder="1" applyFont="1">
      <alignment vertical="center"/>
    </xf>
    <xf borderId="27" fillId="2" fontId="19" numFmtId="0" xfId="0" applyAlignment="1" applyBorder="1" applyFont="1">
      <alignment horizontal="right" vertical="bottom"/>
    </xf>
    <xf borderId="28" fillId="2" fontId="15" numFmtId="0" xfId="0" applyAlignment="1" applyBorder="1" applyFont="1">
      <alignment horizontal="left" vertical="bottom"/>
    </xf>
    <xf borderId="29" fillId="2" fontId="15" numFmtId="0" xfId="0" applyAlignment="1" applyBorder="1" applyFont="1">
      <alignment horizontal="left" vertical="bottom"/>
    </xf>
    <xf borderId="14" fillId="0" fontId="23" numFmtId="0" xfId="0" applyAlignment="1" applyBorder="1" applyFont="1">
      <alignment horizontal="left" readingOrder="0" vertical="bottom"/>
    </xf>
    <xf borderId="4" fillId="2" fontId="24" numFmtId="0" xfId="0" applyAlignment="1" applyBorder="1" applyFont="1">
      <alignment horizontal="left" shrinkToFit="0" vertical="top" wrapText="1"/>
    </xf>
    <xf borderId="4" fillId="2" fontId="19" numFmtId="0" xfId="0" applyAlignment="1" applyBorder="1" applyFont="1">
      <alignment horizontal="center" shrinkToFit="0" vertical="bottom" wrapText="1"/>
    </xf>
    <xf borderId="4" fillId="2" fontId="19" numFmtId="0" xfId="0" applyAlignment="1" applyBorder="1" applyFont="1">
      <alignment horizontal="center" vertical="bottom"/>
    </xf>
    <xf borderId="14" fillId="0" fontId="7" numFmtId="49" xfId="0" applyAlignment="1" applyBorder="1" applyFont="1" applyNumberFormat="1">
      <alignment horizontal="left" readingOrder="0" vertical="bottom"/>
    </xf>
    <xf borderId="4" fillId="4" fontId="7" numFmtId="0" xfId="0" applyAlignment="1" applyBorder="1" applyFont="1">
      <alignment readingOrder="0" shrinkToFit="0" vertical="bottom" wrapText="1"/>
    </xf>
    <xf borderId="4" fillId="7" fontId="25" numFmtId="0" xfId="0" applyAlignment="1" applyBorder="1" applyFont="1">
      <alignment horizontal="center" readingOrder="0" shrinkToFit="0" vertical="bottom" wrapText="1"/>
    </xf>
    <xf borderId="4" fillId="8" fontId="19" numFmtId="0" xfId="0" applyAlignment="1" applyBorder="1" applyFont="1">
      <alignment horizontal="center" vertical="bottom"/>
    </xf>
    <xf borderId="4" fillId="4" fontId="7" numFmtId="0" xfId="0" applyAlignment="1" applyBorder="1" applyFont="1">
      <alignment shrinkToFit="0" vertical="bottom" wrapText="1"/>
    </xf>
    <xf borderId="30" fillId="4" fontId="7" numFmtId="0" xfId="0" applyAlignment="1" applyBorder="1" applyFont="1">
      <alignment shrinkToFit="0" vertical="bottom" wrapText="1"/>
    </xf>
    <xf borderId="31" fillId="7" fontId="25" numFmtId="0" xfId="0" applyAlignment="1" applyBorder="1" applyFont="1">
      <alignment horizontal="center" readingOrder="0" shrinkToFit="0" vertical="bottom" wrapText="1"/>
    </xf>
    <xf borderId="32" fillId="8" fontId="19" numFmtId="0" xfId="0" applyAlignment="1" applyBorder="1" applyFont="1">
      <alignment horizontal="center" vertical="bottom"/>
    </xf>
    <xf borderId="32" fillId="0" fontId="19" numFmtId="0" xfId="0" applyAlignment="1" applyBorder="1" applyFont="1">
      <alignment horizontal="center" vertical="bottom"/>
    </xf>
    <xf borderId="20" fillId="8" fontId="19" numFmtId="0" xfId="0" applyAlignment="1" applyBorder="1" applyFont="1">
      <alignment horizontal="center" vertical="bottom"/>
    </xf>
    <xf borderId="23" fillId="7" fontId="19" numFmtId="0" xfId="0" applyAlignment="1" applyBorder="1" applyFont="1">
      <alignment horizontal="center" readingOrder="0" shrinkToFit="0" vertical="bottom" wrapText="1"/>
    </xf>
    <xf borderId="28" fillId="8" fontId="19" numFmtId="0" xfId="0" applyAlignment="1" applyBorder="1" applyFont="1">
      <alignment horizontal="center" vertical="bottom"/>
    </xf>
    <xf borderId="28" fillId="0" fontId="19" numFmtId="0" xfId="0" applyAlignment="1" applyBorder="1" applyFont="1">
      <alignment horizontal="center" vertical="bottom"/>
    </xf>
    <xf borderId="29" fillId="8" fontId="19" numFmtId="0" xfId="0" applyAlignment="1" applyBorder="1" applyFont="1">
      <alignment horizontal="center" vertical="bottom"/>
    </xf>
    <xf borderId="4" fillId="4" fontId="26" numFmtId="0" xfId="0" applyAlignment="1" applyBorder="1" applyFont="1">
      <alignment vertical="center"/>
    </xf>
    <xf borderId="4" fillId="7" fontId="19" numFmtId="0" xfId="0" applyAlignment="1" applyBorder="1" applyFont="1">
      <alignment horizontal="center" readingOrder="0" shrinkToFit="0" vertical="bottom" wrapText="1"/>
    </xf>
    <xf borderId="4" fillId="2" fontId="27" numFmtId="0" xfId="0" applyAlignment="1" applyBorder="1" applyFont="1">
      <alignment readingOrder="0" shrinkToFit="0" vertical="top" wrapText="1"/>
    </xf>
    <xf borderId="23" fillId="2" fontId="19" numFmtId="0" xfId="0" applyAlignment="1" applyBorder="1" applyFont="1">
      <alignment horizontal="right" vertical="bottom"/>
    </xf>
    <xf borderId="4" fillId="0" fontId="7" numFmtId="0" xfId="0" applyAlignment="1" applyBorder="1" applyFont="1">
      <alignment readingOrder="0" shrinkToFit="0" vertical="bottom" wrapText="1"/>
    </xf>
    <xf borderId="4" fillId="0" fontId="7" numFmtId="0" xfId="0" applyAlignment="1" applyBorder="1" applyFont="1">
      <alignment shrinkToFit="0" vertical="bottom" wrapText="1"/>
    </xf>
    <xf borderId="4" fillId="4" fontId="6" numFmtId="0" xfId="0" applyAlignment="1" applyBorder="1" applyFont="1">
      <alignment shrinkToFit="0" vertical="center" wrapText="1"/>
    </xf>
    <xf borderId="27" fillId="7" fontId="19" numFmtId="0" xfId="0" applyAlignment="1" applyBorder="1" applyFont="1">
      <alignment horizontal="center" vertical="bottom"/>
    </xf>
    <xf borderId="20" fillId="0" fontId="23" numFmtId="0" xfId="0" applyAlignment="1" applyBorder="1" applyFont="1">
      <alignment horizontal="left" readingOrder="0" vertical="bottom"/>
    </xf>
    <xf borderId="4" fillId="2" fontId="27" numFmtId="0" xfId="0" applyAlignment="1" applyBorder="1" applyFont="1">
      <alignment shrinkToFit="0" vertical="center" wrapText="1"/>
    </xf>
    <xf borderId="23" fillId="2" fontId="19" numFmtId="0" xfId="0" applyAlignment="1" applyBorder="1" applyFont="1">
      <alignment horizontal="center" vertical="bottom"/>
    </xf>
    <xf borderId="0" fillId="0" fontId="6" numFmtId="166" xfId="0" applyAlignment="1" applyFont="1" applyNumberFormat="1">
      <alignment vertical="center"/>
    </xf>
    <xf borderId="4" fillId="4" fontId="7" numFmtId="0" xfId="0" applyAlignment="1" applyBorder="1" applyFont="1">
      <alignment shrinkToFit="0" vertical="center" wrapText="1"/>
    </xf>
    <xf borderId="11" fillId="2" fontId="28" numFmtId="0" xfId="0" applyAlignment="1" applyBorder="1" applyFont="1">
      <alignment horizontal="left" vertical="center"/>
    </xf>
    <xf borderId="33" fillId="2" fontId="17" numFmtId="0" xfId="0" applyAlignment="1" applyBorder="1" applyFont="1">
      <alignment vertical="center"/>
    </xf>
    <xf borderId="13" fillId="2" fontId="19" numFmtId="0" xfId="0" applyAlignment="1" applyBorder="1" applyFont="1">
      <alignment horizontal="center" vertical="bottom"/>
    </xf>
    <xf borderId="20" fillId="2" fontId="15" numFmtId="0" xfId="0" applyAlignment="1" applyBorder="1" applyFont="1">
      <alignment horizontal="left" vertical="bottom"/>
    </xf>
    <xf borderId="14" fillId="0" fontId="7" numFmtId="49" xfId="0" applyAlignment="1" applyBorder="1" applyFont="1" applyNumberFormat="1">
      <alignment horizontal="left" vertical="bottom"/>
    </xf>
    <xf borderId="34" fillId="7" fontId="25" numFmtId="0" xfId="0" applyAlignment="1" applyBorder="1" applyFont="1">
      <alignment horizontal="center" vertical="bottom"/>
    </xf>
    <xf borderId="13" fillId="8" fontId="10" numFmtId="0" xfId="0" applyAlignment="1" applyBorder="1" applyFont="1">
      <alignment vertical="bottom"/>
    </xf>
    <xf borderId="22" fillId="0" fontId="10" numFmtId="0" xfId="0" applyAlignment="1" applyBorder="1" applyFont="1">
      <alignment vertical="bottom"/>
    </xf>
    <xf borderId="22" fillId="8" fontId="10" numFmtId="0" xfId="0" applyAlignment="1" applyBorder="1" applyFont="1">
      <alignment vertical="bottom"/>
    </xf>
    <xf borderId="22" fillId="0" fontId="25" numFmtId="0" xfId="0" applyAlignment="1" applyBorder="1" applyFont="1">
      <alignment horizontal="center" vertical="bottom"/>
    </xf>
    <xf borderId="35" fillId="7" fontId="25" numFmtId="0" xfId="0" applyAlignment="1" applyBorder="1" applyFont="1">
      <alignment horizontal="center" vertical="bottom"/>
    </xf>
    <xf borderId="32" fillId="8" fontId="10" numFmtId="0" xfId="0" applyAlignment="1" applyBorder="1" applyFont="1">
      <alignment vertical="bottom"/>
    </xf>
    <xf borderId="21" fillId="0" fontId="10" numFmtId="0" xfId="0" applyAlignment="1" applyBorder="1" applyFont="1">
      <alignment vertical="bottom"/>
    </xf>
    <xf borderId="21" fillId="8" fontId="25" numFmtId="0" xfId="0" applyAlignment="1" applyBorder="1" applyFont="1">
      <alignment horizontal="center" vertical="bottom"/>
    </xf>
    <xf borderId="21" fillId="0" fontId="25" numFmtId="0" xfId="0" applyAlignment="1" applyBorder="1" applyFont="1">
      <alignment horizontal="center" vertical="bottom"/>
    </xf>
    <xf borderId="21" fillId="8" fontId="10" numFmtId="0" xfId="0" applyAlignment="1" applyBorder="1" applyFont="1">
      <alignment vertical="bottom"/>
    </xf>
    <xf borderId="35" fillId="7" fontId="25" numFmtId="0" xfId="0" applyAlignment="1" applyBorder="1" applyFont="1">
      <alignment horizontal="center" readingOrder="0" vertical="bottom"/>
    </xf>
    <xf borderId="32" fillId="8" fontId="25" numFmtId="0" xfId="0" applyAlignment="1" applyBorder="1" applyFont="1">
      <alignment horizontal="center" vertical="bottom"/>
    </xf>
    <xf borderId="0" fillId="0" fontId="29" numFmtId="0" xfId="0" applyAlignment="1" applyFont="1">
      <alignment readingOrder="0" vertical="center"/>
    </xf>
    <xf borderId="0" fillId="0" fontId="23" numFmtId="0" xfId="0" applyAlignment="1" applyFont="1">
      <alignment horizontal="left" vertical="center"/>
    </xf>
    <xf borderId="36" fillId="2" fontId="30" numFmtId="0" xfId="0" applyAlignment="1" applyBorder="1" applyFont="1">
      <alignment horizontal="left" vertical="bottom"/>
    </xf>
    <xf borderId="13" fillId="2" fontId="31" numFmtId="0" xfId="0" applyAlignment="1" applyBorder="1" applyFont="1">
      <alignment horizontal="right" vertical="bottom"/>
    </xf>
    <xf borderId="13" fillId="2" fontId="32" numFmtId="0" xfId="0" applyAlignment="1" applyBorder="1" applyFont="1">
      <alignment horizontal="right" vertical="bottom"/>
    </xf>
    <xf borderId="14" fillId="2" fontId="32" numFmtId="0" xfId="0" applyAlignment="1" applyBorder="1" applyFont="1">
      <alignment horizontal="right" vertical="bottom"/>
    </xf>
    <xf borderId="0" fillId="4" fontId="32" numFmtId="0" xfId="0" applyAlignment="1" applyFont="1">
      <alignment horizontal="right" vertical="bottom"/>
    </xf>
    <xf borderId="0" fillId="0" fontId="33" numFmtId="0" xfId="0" applyAlignment="1" applyFont="1">
      <alignment horizontal="left" vertical="center"/>
    </xf>
    <xf borderId="0" fillId="0" fontId="19" numFmtId="0" xfId="0" applyAlignment="1" applyFont="1">
      <alignment vertical="center"/>
    </xf>
    <xf borderId="4" fillId="0" fontId="21" numFmtId="0" xfId="0" applyAlignment="1" applyBorder="1" applyFont="1">
      <alignment vertical="center"/>
    </xf>
    <xf borderId="4" fillId="0" fontId="20" numFmtId="0" xfId="0" applyAlignment="1" applyBorder="1" applyFont="1">
      <alignment horizontal="center" vertical="bottom"/>
    </xf>
    <xf borderId="10" fillId="9" fontId="34" numFmtId="0" xfId="0" applyAlignment="1" applyBorder="1" applyFill="1" applyFont="1">
      <alignment horizontal="center" vertical="bottom"/>
    </xf>
    <xf borderId="37" fillId="0" fontId="2" numFmtId="0" xfId="0" applyAlignment="1" applyBorder="1" applyFont="1">
      <alignment vertical="center"/>
    </xf>
    <xf borderId="10" fillId="10" fontId="35" numFmtId="0" xfId="0" applyAlignment="1" applyBorder="1" applyFill="1" applyFont="1">
      <alignment horizontal="center" vertical="bottom"/>
    </xf>
    <xf borderId="4" fillId="11" fontId="34" numFmtId="0" xfId="0" applyAlignment="1" applyBorder="1" applyFill="1" applyFont="1">
      <alignment horizontal="left" vertical="bottom"/>
    </xf>
    <xf borderId="4" fillId="11" fontId="36" numFmtId="0" xfId="0" applyAlignment="1" applyBorder="1" applyFont="1">
      <alignment horizontal="left" vertical="bottom"/>
    </xf>
    <xf borderId="10" fillId="12" fontId="20" numFmtId="0" xfId="0" applyAlignment="1" applyBorder="1" applyFill="1" applyFont="1">
      <alignment horizontal="left" vertical="bottom"/>
    </xf>
    <xf borderId="10" fillId="12" fontId="20" numFmtId="0" xfId="0" applyAlignment="1" applyBorder="1" applyFont="1">
      <alignment horizontal="center" vertical="bottom"/>
    </xf>
    <xf borderId="10" fillId="13" fontId="20" numFmtId="0" xfId="0" applyAlignment="1" applyBorder="1" applyFill="1" applyFont="1">
      <alignment horizontal="center" vertical="bottom"/>
    </xf>
    <xf borderId="10" fillId="14" fontId="20" numFmtId="0" xfId="0" applyAlignment="1" applyBorder="1" applyFill="1" applyFont="1">
      <alignment horizontal="left" vertical="bottom"/>
    </xf>
    <xf borderId="4" fillId="0" fontId="11" numFmtId="0" xfId="0" applyAlignment="1" applyBorder="1" applyFont="1">
      <alignment horizontal="left" vertical="bottom"/>
    </xf>
    <xf borderId="4" fillId="2" fontId="24" numFmtId="0" xfId="0" applyAlignment="1" applyBorder="1" applyFont="1">
      <alignment readingOrder="0" vertical="center"/>
    </xf>
    <xf borderId="4" fillId="11" fontId="37" numFmtId="0" xfId="0" applyAlignment="1" applyBorder="1" applyFont="1">
      <alignment horizontal="left" shrinkToFit="0" vertical="bottom" wrapText="1"/>
    </xf>
    <xf borderId="4" fillId="9" fontId="37" numFmtId="0" xfId="0" applyAlignment="1" applyBorder="1" applyFont="1">
      <alignment horizontal="left" shrinkToFit="0" vertical="bottom" wrapText="1"/>
    </xf>
    <xf borderId="4" fillId="15" fontId="37" numFmtId="0" xfId="0" applyAlignment="1" applyBorder="1" applyFill="1" applyFont="1">
      <alignment horizontal="left" shrinkToFit="0" vertical="bottom" wrapText="1"/>
    </xf>
    <xf borderId="4" fillId="0" fontId="10" numFmtId="0" xfId="0" applyAlignment="1" applyBorder="1" applyFont="1">
      <alignment readingOrder="0" vertical="center"/>
    </xf>
    <xf borderId="4" fillId="16" fontId="37" numFmtId="0" xfId="0" applyAlignment="1" applyBorder="1" applyFill="1" applyFont="1">
      <alignment horizontal="left" readingOrder="0" shrinkToFit="0" vertical="bottom" wrapText="1"/>
    </xf>
    <xf borderId="4" fillId="0" fontId="29" numFmtId="0" xfId="0" applyAlignment="1" applyBorder="1" applyFont="1">
      <alignment vertical="center"/>
    </xf>
    <xf borderId="4" fillId="4" fontId="37" numFmtId="0" xfId="0" applyAlignment="1" applyBorder="1" applyFont="1">
      <alignment horizontal="left" shrinkToFit="0" vertical="bottom" wrapText="1"/>
    </xf>
    <xf borderId="4" fillId="17" fontId="37" numFmtId="0" xfId="0" applyAlignment="1" applyBorder="1" applyFill="1" applyFont="1">
      <alignment horizontal="left" shrinkToFit="0" vertical="bottom" wrapText="1"/>
    </xf>
    <xf borderId="4" fillId="0" fontId="37" numFmtId="0" xfId="0" applyAlignment="1" applyBorder="1" applyFont="1">
      <alignment horizontal="left" shrinkToFit="0" vertical="bottom" wrapText="1"/>
    </xf>
    <xf borderId="4" fillId="4" fontId="20" numFmtId="0" xfId="0" applyAlignment="1" applyBorder="1" applyFont="1">
      <alignment horizontal="left" vertical="bottom"/>
    </xf>
    <xf borderId="4" fillId="4" fontId="21" numFmtId="0" xfId="0" applyAlignment="1" applyBorder="1" applyFont="1">
      <alignment vertical="center"/>
    </xf>
    <xf borderId="4" fillId="17" fontId="20" numFmtId="0" xfId="0" applyAlignment="1" applyBorder="1" applyFont="1">
      <alignment horizontal="left" vertical="bottom"/>
    </xf>
    <xf borderId="4" fillId="17" fontId="21" numFmtId="0" xfId="0" applyAlignment="1" applyBorder="1" applyFont="1">
      <alignment vertical="center"/>
    </xf>
    <xf borderId="4" fillId="0" fontId="11" numFmtId="49" xfId="0" applyAlignment="1" applyBorder="1" applyFont="1" applyNumberFormat="1">
      <alignment horizontal="left" vertical="bottom"/>
    </xf>
    <xf borderId="4" fillId="18" fontId="21" numFmtId="0" xfId="0" applyAlignment="1" applyBorder="1" applyFill="1" applyFont="1">
      <alignment readingOrder="0" vertical="center"/>
    </xf>
    <xf borderId="4" fillId="0" fontId="37" numFmtId="0" xfId="0" applyAlignment="1" applyBorder="1" applyFont="1">
      <alignment horizontal="left" vertical="bottom"/>
    </xf>
    <xf borderId="4" fillId="17" fontId="21" numFmtId="0" xfId="0" applyAlignment="1" applyBorder="1" applyFont="1">
      <alignment readingOrder="0" vertical="center"/>
    </xf>
    <xf borderId="4" fillId="0" fontId="29" numFmtId="0" xfId="0" applyAlignment="1" applyBorder="1" applyFont="1">
      <alignment readingOrder="0" vertical="center"/>
    </xf>
    <xf borderId="4" fillId="19" fontId="21" numFmtId="0" xfId="0" applyAlignment="1" applyBorder="1" applyFill="1" applyFont="1">
      <alignment vertical="center"/>
    </xf>
    <xf borderId="4" fillId="11" fontId="24" numFmtId="0" xfId="0" applyAlignment="1" applyBorder="1" applyFont="1">
      <alignment readingOrder="0" vertical="center"/>
    </xf>
    <xf borderId="4" fillId="19" fontId="38" numFmtId="0" xfId="0" applyAlignment="1" applyBorder="1" applyFont="1">
      <alignment vertical="center"/>
    </xf>
    <xf borderId="4" fillId="19" fontId="20" numFmtId="0" xfId="0" applyAlignment="1" applyBorder="1" applyFont="1">
      <alignment horizontal="left" vertical="bottom"/>
    </xf>
    <xf borderId="4" fillId="20" fontId="38" numFmtId="0" xfId="0" applyAlignment="1" applyBorder="1" applyFill="1" applyFont="1">
      <alignment readingOrder="0" vertical="center"/>
    </xf>
    <xf borderId="4" fillId="19" fontId="29" numFmtId="0" xfId="0" applyAlignment="1" applyBorder="1" applyFont="1">
      <alignment vertical="center"/>
    </xf>
    <xf borderId="4" fillId="4" fontId="38" numFmtId="0" xfId="0" applyAlignment="1" applyBorder="1" applyFont="1">
      <alignment vertical="center"/>
    </xf>
    <xf borderId="4" fillId="4" fontId="29" numFmtId="0" xfId="0" applyAlignment="1" applyBorder="1" applyFont="1">
      <alignment vertical="center"/>
    </xf>
    <xf borderId="4" fillId="4" fontId="37" numFmtId="0" xfId="0" applyAlignment="1" applyBorder="1" applyFont="1">
      <alignment horizontal="left" vertical="bottom"/>
    </xf>
    <xf borderId="4" fillId="21" fontId="7" numFmtId="0" xfId="0" applyAlignment="1" applyBorder="1" applyFill="1" applyFont="1">
      <alignment shrinkToFit="0" vertical="bottom" wrapText="1"/>
    </xf>
    <xf borderId="4" fillId="19" fontId="7" numFmtId="0" xfId="0" applyAlignment="1" applyBorder="1" applyFont="1">
      <alignment shrinkToFit="0" vertical="bottom" wrapText="1"/>
    </xf>
    <xf borderId="4" fillId="21" fontId="7" numFmtId="0" xfId="0" applyAlignment="1" applyBorder="1" applyFont="1">
      <alignment readingOrder="0" shrinkToFit="0" vertical="bottom" wrapText="1"/>
    </xf>
    <xf borderId="4" fillId="0" fontId="20" numFmtId="0" xfId="0" applyAlignment="1" applyBorder="1" applyFont="1">
      <alignment horizontal="left" readingOrder="0" vertical="bottom"/>
    </xf>
    <xf borderId="4" fillId="22" fontId="7" numFmtId="0" xfId="0" applyAlignment="1" applyBorder="1" applyFill="1" applyFont="1">
      <alignment shrinkToFit="0" vertical="bottom" wrapText="1"/>
    </xf>
    <xf borderId="4" fillId="22" fontId="7" numFmtId="0" xfId="0" applyAlignment="1" applyBorder="1" applyFont="1">
      <alignment readingOrder="0" shrinkToFit="0" vertical="bottom" wrapText="1"/>
    </xf>
    <xf borderId="4" fillId="23" fontId="7" numFmtId="0" xfId="0" applyAlignment="1" applyBorder="1" applyFill="1" applyFont="1">
      <alignment readingOrder="0" shrinkToFit="0" vertical="bottom" wrapText="1"/>
    </xf>
    <xf borderId="4" fillId="17" fontId="7" numFmtId="0" xfId="0" applyAlignment="1" applyBorder="1" applyFont="1">
      <alignment shrinkToFit="0" vertical="bottom" wrapText="1"/>
    </xf>
    <xf borderId="4" fillId="24" fontId="7" numFmtId="0" xfId="0" applyAlignment="1" applyBorder="1" applyFill="1" applyFont="1">
      <alignment shrinkToFit="0" vertical="bottom" wrapText="1"/>
    </xf>
    <xf borderId="4" fillId="25" fontId="7" numFmtId="0" xfId="0" applyAlignment="1" applyBorder="1" applyFill="1" applyFont="1">
      <alignment shrinkToFit="0" vertical="bottom" wrapText="1"/>
    </xf>
    <xf borderId="4" fillId="24" fontId="37" numFmtId="0" xfId="0" applyAlignment="1" applyBorder="1" applyFont="1">
      <alignment horizontal="left" shrinkToFit="0" vertical="bottom" wrapText="1"/>
    </xf>
    <xf borderId="4" fillId="0" fontId="11" numFmtId="0" xfId="0" applyAlignment="1" applyBorder="1" applyFont="1">
      <alignment horizontal="left" readingOrder="0" vertical="bottom"/>
    </xf>
    <xf borderId="4" fillId="26" fontId="39" numFmtId="0" xfId="0" applyAlignment="1" applyBorder="1" applyFill="1" applyFont="1">
      <alignment vertical="center"/>
    </xf>
    <xf borderId="4" fillId="0" fontId="33" numFmtId="0" xfId="0" applyAlignment="1" applyBorder="1" applyFont="1">
      <alignment vertical="center"/>
    </xf>
    <xf borderId="38" fillId="27" fontId="20" numFmtId="0" xfId="0" applyAlignment="1" applyBorder="1" applyFill="1" applyFont="1">
      <alignment horizontal="left" vertical="bottom"/>
    </xf>
    <xf borderId="39" fillId="9" fontId="37" numFmtId="0" xfId="0" applyAlignment="1" applyBorder="1" applyFont="1">
      <alignment horizontal="left" shrinkToFit="0" vertical="bottom" wrapText="1"/>
    </xf>
    <xf borderId="39" fillId="15" fontId="37" numFmtId="0" xfId="0" applyAlignment="1" applyBorder="1" applyFont="1">
      <alignment horizontal="left" shrinkToFit="0" vertical="bottom" wrapText="1"/>
    </xf>
    <xf borderId="0" fillId="0" fontId="21" numFmtId="0" xfId="0" applyAlignment="1" applyFont="1">
      <alignment shrinkToFit="0" vertical="bottom" wrapText="1"/>
    </xf>
    <xf borderId="0" fillId="0" fontId="33" numFmtId="0" xfId="0" applyAlignment="1" applyFont="1">
      <alignment vertical="center"/>
    </xf>
    <xf borderId="40" fillId="28" fontId="40" numFmtId="0" xfId="0" applyAlignment="1" applyBorder="1" applyFill="1" applyFont="1">
      <alignment horizontal="left" vertical="bottom"/>
    </xf>
    <xf borderId="41" fillId="0" fontId="2" numFmtId="0" xfId="0" applyAlignment="1" applyBorder="1" applyFont="1">
      <alignment vertical="center"/>
    </xf>
    <xf borderId="42" fillId="0" fontId="20" numFmtId="0" xfId="0" applyAlignment="1" applyBorder="1" applyFont="1">
      <alignment horizontal="left" vertical="bottom"/>
    </xf>
    <xf borderId="42" fillId="29" fontId="37" numFmtId="0" xfId="0" applyAlignment="1" applyBorder="1" applyFill="1" applyFont="1">
      <alignment horizontal="left" vertical="bottom"/>
    </xf>
    <xf borderId="42" fillId="0" fontId="21" numFmtId="0" xfId="0" applyAlignment="1" applyBorder="1" applyFont="1">
      <alignment vertical="center"/>
    </xf>
    <xf borderId="42" fillId="30" fontId="34" numFmtId="0" xfId="0" applyAlignment="1" applyBorder="1" applyFill="1" applyFont="1">
      <alignment horizontal="left" vertical="bottom"/>
    </xf>
    <xf borderId="42" fillId="17" fontId="2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5.88"/>
    <col customWidth="1" min="3" max="3" width="14.75"/>
    <col customWidth="1" min="4" max="4" width="21.75"/>
    <col customWidth="1" min="5" max="5" width="6.25"/>
    <col customWidth="1" min="6" max="6" width="27.75"/>
    <col customWidth="1" min="7" max="8" width="10.25"/>
    <col customWidth="1" min="9" max="9" width="9.38"/>
    <col customWidth="1" min="10" max="10" width="10.63"/>
    <col customWidth="1" min="11" max="11" width="9.13"/>
    <col customWidth="1" min="12" max="12" width="9.25"/>
    <col customWidth="1" min="13" max="25" width="14.38"/>
  </cols>
  <sheetData>
    <row r="2" ht="15.0" customHeight="1">
      <c r="A2" s="1" t="s">
        <v>0</v>
      </c>
      <c r="B2" s="2"/>
      <c r="C2" s="2"/>
      <c r="D2" s="3"/>
      <c r="F2" s="4" t="s">
        <v>1</v>
      </c>
      <c r="G2" s="5" t="s">
        <v>2</v>
      </c>
      <c r="H2" s="5" t="s">
        <v>3</v>
      </c>
      <c r="I2" s="5" t="s">
        <v>4</v>
      </c>
      <c r="J2" s="5" t="s">
        <v>5</v>
      </c>
      <c r="K2" s="5" t="s">
        <v>6</v>
      </c>
      <c r="L2" s="5" t="s">
        <v>7</v>
      </c>
      <c r="M2" s="6" t="s">
        <v>8</v>
      </c>
    </row>
    <row r="3" ht="15.0" customHeight="1">
      <c r="A3" s="7"/>
      <c r="D3" s="8"/>
      <c r="F3" s="9" t="s">
        <v>9</v>
      </c>
      <c r="G3" s="10">
        <f>SUM(EDT!D4:D9)*'EDT-VALORES HH'!C6</f>
        <v>0</v>
      </c>
      <c r="H3" s="10">
        <f>SUM(EDT!E4:E9)*'EDT-VALORES HH'!C7</f>
        <v>0</v>
      </c>
      <c r="I3" s="10">
        <f>SUM(EDT!F4:F9)*'EDT-VALORES HH'!C8</f>
        <v>0</v>
      </c>
      <c r="J3" s="10">
        <f>SUM(EDT!G4:G9)*'EDT-VALORES HH'!C9</f>
        <v>0</v>
      </c>
      <c r="K3" s="10">
        <f>SUM(EDT!H4:H9)*'EDT-VALORES HH'!C10</f>
        <v>0</v>
      </c>
      <c r="L3" s="10">
        <f>SUM(EDT!I4:I9)*'EDT-VALORES HH'!C11</f>
        <v>0</v>
      </c>
      <c r="M3" s="11">
        <f t="shared" ref="M3:M6" si="1">SUM(G3:L3)</f>
        <v>0</v>
      </c>
    </row>
    <row r="4" ht="15.0" customHeight="1">
      <c r="A4" s="12"/>
      <c r="B4" s="13"/>
      <c r="C4" s="13"/>
      <c r="D4" s="14"/>
      <c r="F4" s="15" t="s">
        <v>10</v>
      </c>
      <c r="G4" s="10">
        <f>SUM(EDT!D11:D22)*'EDT-VALORES HH'!C6</f>
        <v>0</v>
      </c>
      <c r="H4" s="10">
        <f>SUM(EDT!E11:E22)*'EDT-VALORES HH'!C7</f>
        <v>0</v>
      </c>
      <c r="I4" s="10">
        <f>SUM(EDT!F11:F22)*'EDT-VALORES HH'!C8</f>
        <v>0</v>
      </c>
      <c r="J4" s="10">
        <f>SUM(EDT!G11:G22)*'EDT-VALORES HH'!C9</f>
        <v>0</v>
      </c>
      <c r="K4" s="10">
        <f>SUM(EDT!H11:H22)*'EDT-VALORES HH'!C10</f>
        <v>0</v>
      </c>
      <c r="L4" s="10">
        <f>SUM(EDT!I11:I22)*'EDT-VALORES HH'!C11</f>
        <v>0</v>
      </c>
      <c r="M4" s="11">
        <f t="shared" si="1"/>
        <v>0</v>
      </c>
    </row>
    <row r="5" ht="15.0" customHeight="1">
      <c r="A5" s="16" t="s">
        <v>11</v>
      </c>
      <c r="B5" s="17" t="s">
        <v>12</v>
      </c>
      <c r="C5" s="16" t="s">
        <v>13</v>
      </c>
      <c r="D5" s="16" t="s">
        <v>14</v>
      </c>
      <c r="F5" s="15" t="s">
        <v>15</v>
      </c>
      <c r="G5" s="10">
        <f>SUM(EDT!D23:D46)*'EDT-VALORES HH'!C6</f>
        <v>0</v>
      </c>
      <c r="H5" s="10">
        <f>SUM(EDT!E23:E46)*'EDT-VALORES HH'!C7</f>
        <v>0</v>
      </c>
      <c r="I5" s="10">
        <f>SUM(EDT!F23:F46)*'EDT-VALORES HH'!C8</f>
        <v>0</v>
      </c>
      <c r="J5" s="10">
        <f>SUM(EDT!G23:G46)*'EDT-VALORES HH'!C9</f>
        <v>0</v>
      </c>
      <c r="K5" s="10">
        <f>SUM(EDT!H23:H46)*'EDT-VALORES HH'!C10</f>
        <v>0</v>
      </c>
      <c r="L5" s="10">
        <f>SUM(EDT!I23:I46)*'EDT-VALORES HH'!C11</f>
        <v>0</v>
      </c>
      <c r="M5" s="11">
        <f t="shared" si="1"/>
        <v>0</v>
      </c>
    </row>
    <row r="6" ht="15.0" customHeight="1">
      <c r="A6" s="16" t="s">
        <v>2</v>
      </c>
      <c r="B6" s="18">
        <f>EDT!D58</f>
        <v>0</v>
      </c>
      <c r="C6" s="19">
        <v>12778.0</v>
      </c>
      <c r="D6" s="19">
        <f t="shared" ref="D6:D11" si="2">C6*B6</f>
        <v>0</v>
      </c>
      <c r="F6" s="15" t="s">
        <v>16</v>
      </c>
      <c r="G6" s="10">
        <f>SUM(EDT!D48:D57)*'EDT-VALORES HH'!C6</f>
        <v>0</v>
      </c>
      <c r="H6" s="10">
        <f>SUM(EDT!E48:E57)*'EDT-VALORES HH'!C7</f>
        <v>0</v>
      </c>
      <c r="I6" s="10">
        <f>SUM(EDT!F48:F57)*'EDT-VALORES HH'!C8</f>
        <v>0</v>
      </c>
      <c r="J6" s="10">
        <f>SUM(EDT!G48:G57)*'EDT-VALORES HH'!C9</f>
        <v>0</v>
      </c>
      <c r="K6" s="10">
        <f>SUM(EDT!H48:H57)*'EDT-VALORES HH'!C10</f>
        <v>0</v>
      </c>
      <c r="L6" s="10">
        <f>SUM(EDT!I48:I57)*'EDT-VALORES HH'!C11</f>
        <v>0</v>
      </c>
      <c r="M6" s="11">
        <f t="shared" si="1"/>
        <v>0</v>
      </c>
    </row>
    <row r="7" ht="15.0" customHeight="1">
      <c r="A7" s="16" t="s">
        <v>3</v>
      </c>
      <c r="B7" s="18">
        <f>EDT!E$58</f>
        <v>0</v>
      </c>
      <c r="C7" s="19">
        <v>10000.0</v>
      </c>
      <c r="D7" s="19">
        <f t="shared" si="2"/>
        <v>0</v>
      </c>
      <c r="F7" s="20" t="s">
        <v>17</v>
      </c>
      <c r="G7" s="21"/>
      <c r="H7" s="21"/>
      <c r="I7" s="21"/>
      <c r="J7" s="21"/>
      <c r="K7" s="21"/>
      <c r="L7" s="21"/>
      <c r="M7" s="22">
        <f>SUM(M3:M6)</f>
        <v>0</v>
      </c>
    </row>
    <row r="8" ht="15.0" customHeight="1">
      <c r="A8" s="16" t="s">
        <v>4</v>
      </c>
      <c r="B8" s="18">
        <f>EDT!F$58</f>
        <v>0</v>
      </c>
      <c r="C8" s="19">
        <v>6667.0</v>
      </c>
      <c r="D8" s="19">
        <f t="shared" si="2"/>
        <v>0</v>
      </c>
    </row>
    <row r="9" ht="15.0" customHeight="1">
      <c r="A9" s="16" t="s">
        <v>5</v>
      </c>
      <c r="B9" s="18">
        <f>EDT!G$58</f>
        <v>0</v>
      </c>
      <c r="C9" s="19">
        <v>6667.0</v>
      </c>
      <c r="D9" s="19">
        <f t="shared" si="2"/>
        <v>0</v>
      </c>
    </row>
    <row r="10" ht="15.0" customHeight="1">
      <c r="A10" s="16" t="s">
        <v>6</v>
      </c>
      <c r="B10" s="18">
        <f>EDT!H$58</f>
        <v>0</v>
      </c>
      <c r="C10" s="19">
        <v>6667.0</v>
      </c>
      <c r="D10" s="19">
        <f t="shared" si="2"/>
        <v>0</v>
      </c>
    </row>
    <row r="11" ht="15.0" customHeight="1">
      <c r="A11" s="16" t="s">
        <v>7</v>
      </c>
      <c r="B11" s="18">
        <f>EDT!I$58</f>
        <v>0</v>
      </c>
      <c r="C11" s="19">
        <v>6666.666666666667</v>
      </c>
      <c r="D11" s="19">
        <f t="shared" si="2"/>
        <v>0</v>
      </c>
      <c r="F11" s="23"/>
    </row>
    <row r="12" ht="15.0" customHeight="1">
      <c r="A12" s="21"/>
      <c r="B12" s="24" t="s">
        <v>14</v>
      </c>
      <c r="C12" s="25"/>
      <c r="D12" s="26">
        <f>SUM(D6:D11)</f>
        <v>0</v>
      </c>
      <c r="F12" s="23"/>
    </row>
    <row r="13">
      <c r="F13" s="27"/>
    </row>
    <row r="14">
      <c r="A14" s="28"/>
      <c r="B14" s="28"/>
      <c r="C14" s="28"/>
      <c r="D14" s="28"/>
      <c r="E14" s="28"/>
      <c r="F14" s="29"/>
    </row>
    <row r="15">
      <c r="A15" s="28"/>
      <c r="B15" s="28"/>
      <c r="C15" s="28"/>
      <c r="D15" s="28"/>
      <c r="E15" s="28"/>
      <c r="F15" s="23"/>
    </row>
    <row r="16">
      <c r="A16" s="28"/>
      <c r="B16" s="28"/>
      <c r="C16" s="28"/>
      <c r="D16" s="28"/>
      <c r="E16" s="28"/>
      <c r="F16" s="29"/>
    </row>
    <row r="17">
      <c r="A17" s="28"/>
      <c r="B17" s="28"/>
      <c r="C17" s="28"/>
      <c r="D17" s="28"/>
      <c r="E17" s="28"/>
      <c r="F17" s="28"/>
    </row>
    <row r="18">
      <c r="A18" s="28"/>
      <c r="B18" s="28"/>
      <c r="C18" s="29"/>
      <c r="D18" s="28"/>
      <c r="E18" s="28"/>
      <c r="F18" s="28"/>
    </row>
    <row r="19">
      <c r="A19" s="28"/>
      <c r="B19" s="28"/>
      <c r="C19" s="28"/>
      <c r="D19" s="28"/>
      <c r="E19" s="28"/>
      <c r="F19" s="28"/>
    </row>
    <row r="20">
      <c r="A20" s="28"/>
      <c r="B20" s="28"/>
      <c r="C20" s="28"/>
      <c r="D20" s="28"/>
      <c r="E20" s="28"/>
      <c r="F20" s="28"/>
    </row>
    <row r="21">
      <c r="A21" s="28"/>
      <c r="B21" s="28"/>
      <c r="C21" s="28"/>
      <c r="D21" s="28"/>
      <c r="E21" s="28"/>
    </row>
    <row r="22">
      <c r="A22" s="28"/>
      <c r="B22" s="28"/>
      <c r="C22" s="28"/>
      <c r="D22" s="28"/>
      <c r="E22" s="28"/>
    </row>
    <row r="23">
      <c r="A23" s="28"/>
      <c r="B23" s="28"/>
      <c r="C23" s="28"/>
      <c r="D23" s="28"/>
      <c r="E23" s="28"/>
      <c r="F23" s="28"/>
    </row>
    <row r="24">
      <c r="A24" s="28"/>
      <c r="B24" s="28"/>
      <c r="C24" s="28"/>
      <c r="D24" s="28"/>
      <c r="E24" s="28"/>
      <c r="F24" s="28"/>
    </row>
    <row r="25">
      <c r="A25" s="28"/>
      <c r="B25" s="28"/>
      <c r="C25" s="28"/>
      <c r="D25" s="28"/>
      <c r="E25" s="28"/>
      <c r="F25" s="28"/>
    </row>
    <row r="26">
      <c r="A26" s="28"/>
      <c r="B26" s="28"/>
      <c r="C26" s="28"/>
      <c r="D26" s="28"/>
      <c r="E26" s="28"/>
      <c r="F26" s="28"/>
    </row>
    <row r="27">
      <c r="A27" s="28"/>
      <c r="B27" s="28"/>
      <c r="C27" s="28"/>
      <c r="D27" s="28"/>
      <c r="E27" s="28"/>
      <c r="F27" s="28"/>
    </row>
    <row r="28">
      <c r="A28" s="28"/>
      <c r="B28" s="28"/>
      <c r="C28" s="28"/>
      <c r="D28" s="28"/>
      <c r="E28" s="28"/>
      <c r="F28" s="28"/>
    </row>
  </sheetData>
  <mergeCells count="2">
    <mergeCell ref="A2:D4"/>
    <mergeCell ref="B12:C1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59.25"/>
    <col customWidth="1" min="3" max="3" width="13.0"/>
    <col customWidth="1" min="4" max="4" width="6.0"/>
    <col customWidth="1" min="5" max="5" width="8.13"/>
    <col customWidth="1" min="6" max="6" width="6.38"/>
    <col customWidth="1" min="7" max="7" width="5.75"/>
    <col customWidth="1" min="8" max="8" width="6.25"/>
    <col customWidth="1" min="9" max="9" width="7.63"/>
    <col customWidth="1" min="10" max="11" width="9.13"/>
    <col customWidth="1" min="12" max="12" width="10.5"/>
    <col customWidth="1" min="13" max="13" width="17.75"/>
    <col customWidth="1" min="14" max="14" width="28.38"/>
    <col customWidth="1" min="15" max="15" width="14.38"/>
    <col customWidth="1" min="16" max="25" width="10.0"/>
    <col customWidth="1" min="26" max="26" width="14.38"/>
  </cols>
  <sheetData>
    <row r="1">
      <c r="A1" s="30" t="s">
        <v>18</v>
      </c>
      <c r="B1" s="30" t="s">
        <v>19</v>
      </c>
      <c r="C1" s="31" t="s">
        <v>20</v>
      </c>
      <c r="D1" s="32" t="s">
        <v>21</v>
      </c>
      <c r="E1" s="33"/>
      <c r="F1" s="33"/>
      <c r="G1" s="33"/>
      <c r="H1" s="33"/>
      <c r="I1" s="33"/>
      <c r="J1" s="34"/>
      <c r="K1" s="34"/>
    </row>
    <row r="2">
      <c r="A2" s="35"/>
      <c r="B2" s="35"/>
      <c r="C2" s="35" t="s">
        <v>22</v>
      </c>
      <c r="D2" s="36" t="s">
        <v>2</v>
      </c>
      <c r="E2" s="36" t="s">
        <v>3</v>
      </c>
      <c r="F2" s="36" t="s">
        <v>4</v>
      </c>
      <c r="G2" s="36" t="s">
        <v>5</v>
      </c>
      <c r="H2" s="36" t="s">
        <v>6</v>
      </c>
      <c r="I2" s="37" t="s">
        <v>7</v>
      </c>
      <c r="J2" s="38"/>
      <c r="K2" s="38"/>
      <c r="M2" s="39" t="s">
        <v>23</v>
      </c>
    </row>
    <row r="3">
      <c r="A3" s="40">
        <v>1.0</v>
      </c>
      <c r="B3" s="41" t="s">
        <v>24</v>
      </c>
      <c r="C3" s="35" t="s">
        <v>25</v>
      </c>
      <c r="D3" s="42" t="s">
        <v>26</v>
      </c>
      <c r="E3" s="33"/>
      <c r="F3" s="33"/>
      <c r="G3" s="33"/>
      <c r="H3" s="33"/>
      <c r="I3" s="33"/>
      <c r="J3" s="43"/>
      <c r="K3" s="43"/>
      <c r="M3" s="44" t="s">
        <v>27</v>
      </c>
      <c r="N3" s="44" t="s">
        <v>28</v>
      </c>
      <c r="O3" s="45" t="s">
        <v>29</v>
      </c>
      <c r="P3" s="46"/>
    </row>
    <row r="4">
      <c r="A4" s="47" t="s">
        <v>30</v>
      </c>
      <c r="B4" s="48" t="s">
        <v>31</v>
      </c>
      <c r="C4" s="49">
        <v>1.0</v>
      </c>
      <c r="D4" s="50"/>
      <c r="E4" s="51"/>
      <c r="F4" s="50"/>
      <c r="G4" s="51"/>
      <c r="H4" s="52"/>
      <c r="I4" s="53"/>
      <c r="J4" s="54"/>
      <c r="K4" s="54"/>
      <c r="M4" s="55" t="s">
        <v>2</v>
      </c>
      <c r="N4" s="56" t="s">
        <v>32</v>
      </c>
      <c r="O4" s="57" t="s">
        <v>33</v>
      </c>
      <c r="P4" s="58"/>
    </row>
    <row r="5">
      <c r="A5" s="47" t="s">
        <v>34</v>
      </c>
      <c r="B5" s="48" t="s">
        <v>35</v>
      </c>
      <c r="C5" s="59">
        <v>2.0</v>
      </c>
      <c r="D5" s="50"/>
      <c r="E5" s="51"/>
      <c r="F5" s="50"/>
      <c r="G5" s="51"/>
      <c r="H5" s="52"/>
      <c r="I5" s="53"/>
      <c r="J5" s="54"/>
      <c r="K5" s="54"/>
      <c r="M5" s="55" t="s">
        <v>3</v>
      </c>
      <c r="N5" s="56" t="s">
        <v>36</v>
      </c>
      <c r="O5" s="60" t="s">
        <v>37</v>
      </c>
      <c r="P5" s="61"/>
    </row>
    <row r="6">
      <c r="A6" s="47" t="s">
        <v>38</v>
      </c>
      <c r="B6" s="48" t="s">
        <v>39</v>
      </c>
      <c r="C6" s="49">
        <v>1.0</v>
      </c>
      <c r="D6" s="50"/>
      <c r="E6" s="51"/>
      <c r="F6" s="50"/>
      <c r="G6" s="51"/>
      <c r="H6" s="52"/>
      <c r="I6" s="53"/>
      <c r="J6" s="54"/>
      <c r="K6" s="54"/>
      <c r="M6" s="55" t="s">
        <v>4</v>
      </c>
      <c r="N6" s="56" t="s">
        <v>40</v>
      </c>
      <c r="O6" s="60" t="s">
        <v>41</v>
      </c>
      <c r="P6" s="61"/>
    </row>
    <row r="7">
      <c r="A7" s="47" t="s">
        <v>42</v>
      </c>
      <c r="B7" s="62" t="s">
        <v>43</v>
      </c>
      <c r="C7" s="59">
        <v>3.0</v>
      </c>
      <c r="D7" s="50"/>
      <c r="E7" s="51"/>
      <c r="F7" s="50"/>
      <c r="G7" s="51"/>
      <c r="H7" s="52"/>
      <c r="I7" s="53"/>
      <c r="J7" s="54"/>
      <c r="K7" s="54"/>
      <c r="M7" s="55" t="s">
        <v>5</v>
      </c>
      <c r="N7" s="56" t="s">
        <v>44</v>
      </c>
      <c r="O7" s="60" t="s">
        <v>37</v>
      </c>
      <c r="P7" s="61"/>
    </row>
    <row r="8">
      <c r="A8" s="47" t="s">
        <v>45</v>
      </c>
      <c r="B8" s="48" t="s">
        <v>46</v>
      </c>
      <c r="C8" s="59">
        <v>2.0</v>
      </c>
      <c r="D8" s="50"/>
      <c r="E8" s="51"/>
      <c r="F8" s="50"/>
      <c r="G8" s="51"/>
      <c r="H8" s="52"/>
      <c r="I8" s="53"/>
      <c r="J8" s="54"/>
      <c r="K8" s="54"/>
      <c r="M8" s="55" t="s">
        <v>7</v>
      </c>
      <c r="N8" s="63" t="s">
        <v>47</v>
      </c>
      <c r="O8" s="60" t="s">
        <v>41</v>
      </c>
      <c r="P8" s="61"/>
    </row>
    <row r="9">
      <c r="A9" s="47" t="s">
        <v>48</v>
      </c>
      <c r="B9" s="48" t="s">
        <v>49</v>
      </c>
      <c r="C9" s="59">
        <v>1.0</v>
      </c>
      <c r="D9" s="50"/>
      <c r="E9" s="51"/>
      <c r="F9" s="50"/>
      <c r="G9" s="51"/>
      <c r="H9" s="52"/>
      <c r="I9" s="53"/>
      <c r="J9" s="54"/>
      <c r="K9" s="54"/>
    </row>
    <row r="10">
      <c r="A10" s="40">
        <v>2.0</v>
      </c>
      <c r="B10" s="64" t="s">
        <v>50</v>
      </c>
      <c r="C10" s="36"/>
      <c r="D10" s="36"/>
      <c r="E10" s="36"/>
      <c r="F10" s="36"/>
      <c r="G10" s="36"/>
      <c r="H10" s="37"/>
      <c r="I10" s="65"/>
      <c r="J10" s="38"/>
      <c r="K10" s="38"/>
    </row>
    <row r="11">
      <c r="A11" s="47" t="s">
        <v>51</v>
      </c>
      <c r="B11" s="62" t="s">
        <v>52</v>
      </c>
      <c r="C11" s="59">
        <v>4.0</v>
      </c>
      <c r="D11" s="50"/>
      <c r="E11" s="51"/>
      <c r="F11" s="50"/>
      <c r="G11" s="51"/>
      <c r="H11" s="52"/>
      <c r="I11" s="53"/>
      <c r="J11" s="54"/>
      <c r="K11" s="54"/>
      <c r="N11" s="39"/>
      <c r="O11" s="39"/>
    </row>
    <row r="12">
      <c r="A12" s="47" t="s">
        <v>53</v>
      </c>
      <c r="B12" s="48" t="s">
        <v>54</v>
      </c>
      <c r="C12" s="59">
        <v>3.0</v>
      </c>
      <c r="D12" s="50"/>
      <c r="E12" s="51"/>
      <c r="F12" s="50"/>
      <c r="G12" s="51"/>
      <c r="H12" s="52"/>
      <c r="I12" s="53"/>
      <c r="J12" s="54"/>
      <c r="K12" s="54"/>
      <c r="L12" s="39"/>
      <c r="N12" s="39"/>
      <c r="O12" s="39"/>
    </row>
    <row r="13">
      <c r="A13" s="47" t="s">
        <v>55</v>
      </c>
      <c r="B13" s="66" t="s">
        <v>56</v>
      </c>
      <c r="C13" s="59">
        <v>3.0</v>
      </c>
      <c r="D13" s="50"/>
      <c r="E13" s="51"/>
      <c r="F13" s="50"/>
      <c r="G13" s="51"/>
      <c r="H13" s="52"/>
      <c r="I13" s="53"/>
      <c r="J13" s="54"/>
      <c r="K13" s="54"/>
      <c r="L13" s="39"/>
      <c r="N13" s="39"/>
      <c r="O13" s="39"/>
    </row>
    <row r="14">
      <c r="A14" s="47" t="s">
        <v>57</v>
      </c>
      <c r="B14" s="67" t="s">
        <v>58</v>
      </c>
      <c r="C14" s="68">
        <v>3.0</v>
      </c>
      <c r="D14" s="50"/>
      <c r="E14" s="51"/>
      <c r="F14" s="50"/>
      <c r="G14" s="51"/>
      <c r="H14" s="52"/>
      <c r="I14" s="53"/>
      <c r="J14" s="54"/>
      <c r="K14" s="54"/>
      <c r="L14" s="39"/>
      <c r="N14" s="39"/>
      <c r="O14" s="39"/>
    </row>
    <row r="15">
      <c r="A15" s="47" t="s">
        <v>59</v>
      </c>
      <c r="B15" s="67" t="s">
        <v>60</v>
      </c>
      <c r="C15" s="69">
        <v>2.0</v>
      </c>
      <c r="D15" s="50"/>
      <c r="E15" s="51"/>
      <c r="F15" s="50"/>
      <c r="G15" s="51"/>
      <c r="H15" s="52"/>
      <c r="I15" s="53"/>
      <c r="J15" s="54"/>
      <c r="K15" s="54"/>
      <c r="L15" s="39"/>
      <c r="N15" s="39"/>
      <c r="O15" s="39"/>
    </row>
    <row r="16">
      <c r="A16" s="47" t="s">
        <v>61</v>
      </c>
      <c r="B16" s="67" t="s">
        <v>62</v>
      </c>
      <c r="C16" s="69">
        <v>1.0</v>
      </c>
      <c r="D16" s="50"/>
      <c r="E16" s="51"/>
      <c r="F16" s="50"/>
      <c r="G16" s="51"/>
      <c r="H16" s="52"/>
      <c r="I16" s="53"/>
      <c r="J16" s="54"/>
      <c r="K16" s="54"/>
      <c r="L16" s="39"/>
      <c r="N16" s="39"/>
      <c r="O16" s="39"/>
    </row>
    <row r="17">
      <c r="A17" s="47" t="s">
        <v>63</v>
      </c>
      <c r="B17" s="67" t="s">
        <v>64</v>
      </c>
      <c r="C17" s="69">
        <v>1.0</v>
      </c>
      <c r="D17" s="50"/>
      <c r="E17" s="51"/>
      <c r="F17" s="50"/>
      <c r="G17" s="51"/>
      <c r="H17" s="52"/>
      <c r="I17" s="53"/>
      <c r="J17" s="54"/>
      <c r="K17" s="54"/>
      <c r="L17" s="39"/>
      <c r="N17" s="39"/>
      <c r="O17" s="39"/>
    </row>
    <row r="18">
      <c r="A18" s="47" t="s">
        <v>65</v>
      </c>
      <c r="B18" s="67" t="s">
        <v>66</v>
      </c>
      <c r="C18" s="68">
        <v>2.0</v>
      </c>
      <c r="D18" s="50"/>
      <c r="E18" s="51"/>
      <c r="F18" s="50"/>
      <c r="G18" s="51"/>
      <c r="H18" s="52"/>
      <c r="I18" s="53"/>
      <c r="J18" s="54"/>
      <c r="K18" s="54"/>
      <c r="L18" s="39"/>
      <c r="N18" s="39"/>
      <c r="O18" s="39"/>
    </row>
    <row r="19">
      <c r="A19" s="47" t="s">
        <v>67</v>
      </c>
      <c r="B19" s="67" t="s">
        <v>68</v>
      </c>
      <c r="C19" s="69">
        <v>2.0</v>
      </c>
      <c r="D19" s="50"/>
      <c r="E19" s="51"/>
      <c r="F19" s="50"/>
      <c r="G19" s="51"/>
      <c r="H19" s="52"/>
      <c r="I19" s="53"/>
      <c r="J19" s="54"/>
      <c r="K19" s="54"/>
      <c r="L19" s="39"/>
      <c r="N19" s="39"/>
      <c r="O19" s="39"/>
    </row>
    <row r="20">
      <c r="A20" s="47" t="s">
        <v>69</v>
      </c>
      <c r="B20" s="70" t="s">
        <v>70</v>
      </c>
      <c r="C20" s="49">
        <v>2.0</v>
      </c>
      <c r="D20" s="50"/>
      <c r="E20" s="51"/>
      <c r="F20" s="50"/>
      <c r="G20" s="51"/>
      <c r="H20" s="52"/>
      <c r="I20" s="53"/>
      <c r="J20" s="54"/>
      <c r="K20" s="54"/>
      <c r="L20" s="39"/>
      <c r="N20" s="71"/>
      <c r="O20" s="71"/>
    </row>
    <row r="21">
      <c r="A21" s="47" t="s">
        <v>71</v>
      </c>
      <c r="B21" s="66" t="s">
        <v>72</v>
      </c>
      <c r="C21" s="49">
        <v>2.0</v>
      </c>
      <c r="D21" s="50"/>
      <c r="E21" s="51"/>
      <c r="F21" s="50"/>
      <c r="G21" s="51"/>
      <c r="H21" s="52"/>
      <c r="I21" s="53"/>
      <c r="J21" s="54"/>
      <c r="K21" s="54"/>
      <c r="L21" s="39"/>
      <c r="N21" s="71"/>
      <c r="O21" s="71"/>
    </row>
    <row r="22" ht="15.75" customHeight="1">
      <c r="A22" s="47" t="s">
        <v>73</v>
      </c>
      <c r="B22" s="67" t="s">
        <v>74</v>
      </c>
      <c r="C22" s="69">
        <v>1.0</v>
      </c>
      <c r="D22" s="50"/>
      <c r="E22" s="51"/>
      <c r="F22" s="50"/>
      <c r="G22" s="51"/>
      <c r="H22" s="52"/>
      <c r="I22" s="53"/>
      <c r="J22" s="54"/>
      <c r="K22" s="54"/>
      <c r="L22" s="39"/>
      <c r="M22" s="39"/>
      <c r="N22" s="71"/>
      <c r="O22" s="71"/>
    </row>
    <row r="23" ht="22.5" customHeight="1">
      <c r="A23" s="72">
        <v>3.0</v>
      </c>
      <c r="B23" s="73" t="s">
        <v>75</v>
      </c>
      <c r="C23" s="74"/>
      <c r="D23" s="75"/>
      <c r="E23" s="75"/>
      <c r="F23" s="75"/>
      <c r="G23" s="75"/>
      <c r="H23" s="76"/>
      <c r="I23" s="65"/>
      <c r="J23" s="38"/>
      <c r="K23" s="38"/>
      <c r="L23" s="39"/>
      <c r="M23" s="39"/>
      <c r="N23" s="71"/>
      <c r="O23" s="71"/>
    </row>
    <row r="24" ht="15.75" customHeight="1">
      <c r="A24" s="77">
        <v>3.1</v>
      </c>
      <c r="B24" s="78" t="s">
        <v>76</v>
      </c>
      <c r="C24" s="79"/>
      <c r="D24" s="80"/>
      <c r="E24" s="80"/>
      <c r="F24" s="80"/>
      <c r="G24" s="80"/>
      <c r="H24" s="80"/>
      <c r="I24" s="80"/>
      <c r="J24" s="54"/>
      <c r="K24" s="54"/>
      <c r="L24" s="39" t="s">
        <v>77</v>
      </c>
      <c r="M24" s="39"/>
      <c r="N24" s="71"/>
      <c r="O24" s="71"/>
    </row>
    <row r="25" ht="15.75" customHeight="1">
      <c r="A25" s="81"/>
      <c r="B25" s="82" t="s">
        <v>78</v>
      </c>
      <c r="C25" s="83">
        <v>1.0</v>
      </c>
      <c r="D25" s="84"/>
      <c r="E25" s="53"/>
      <c r="F25" s="84"/>
      <c r="G25" s="53"/>
      <c r="H25" s="84"/>
      <c r="I25" s="53"/>
      <c r="J25" s="54"/>
      <c r="K25" s="54"/>
      <c r="L25" s="39"/>
      <c r="M25" s="39"/>
      <c r="N25" s="71"/>
      <c r="O25" s="71"/>
    </row>
    <row r="26" ht="15.75" customHeight="1">
      <c r="A26" s="81" t="s">
        <v>79</v>
      </c>
      <c r="B26" s="85" t="s">
        <v>80</v>
      </c>
      <c r="C26" s="83">
        <v>2.0</v>
      </c>
      <c r="D26" s="84"/>
      <c r="E26" s="53"/>
      <c r="F26" s="84"/>
      <c r="G26" s="53"/>
      <c r="H26" s="84"/>
      <c r="I26" s="53"/>
      <c r="J26" s="54"/>
      <c r="K26" s="54"/>
      <c r="L26" s="39" t="s">
        <v>81</v>
      </c>
      <c r="M26" s="39"/>
      <c r="N26" s="71"/>
      <c r="O26" s="71"/>
    </row>
    <row r="27" ht="15.75" customHeight="1">
      <c r="A27" s="81" t="s">
        <v>82</v>
      </c>
      <c r="B27" s="86" t="s">
        <v>83</v>
      </c>
      <c r="C27" s="87">
        <v>2.0</v>
      </c>
      <c r="D27" s="88"/>
      <c r="E27" s="89"/>
      <c r="F27" s="88"/>
      <c r="G27" s="89"/>
      <c r="H27" s="90"/>
      <c r="I27" s="53"/>
      <c r="J27" s="54"/>
      <c r="K27" s="54"/>
      <c r="L27" s="39" t="s">
        <v>84</v>
      </c>
      <c r="M27" s="39"/>
      <c r="N27" s="71"/>
      <c r="O27" s="71"/>
    </row>
    <row r="28" ht="15.75" customHeight="1">
      <c r="A28" s="81" t="s">
        <v>85</v>
      </c>
      <c r="B28" s="85" t="s">
        <v>86</v>
      </c>
      <c r="C28" s="91">
        <v>1.0</v>
      </c>
      <c r="D28" s="50"/>
      <c r="E28" s="51"/>
      <c r="F28" s="50"/>
      <c r="G28" s="51"/>
      <c r="H28" s="52"/>
      <c r="I28" s="53"/>
      <c r="J28" s="54"/>
      <c r="K28" s="54"/>
      <c r="L28" s="39" t="s">
        <v>87</v>
      </c>
      <c r="M28" s="39"/>
      <c r="N28" s="71"/>
      <c r="O28" s="71"/>
    </row>
    <row r="29" ht="15.75" customHeight="1">
      <c r="A29" s="81" t="s">
        <v>88</v>
      </c>
      <c r="B29" s="85" t="s">
        <v>89</v>
      </c>
      <c r="C29" s="91">
        <v>2.0</v>
      </c>
      <c r="D29" s="92"/>
      <c r="E29" s="93"/>
      <c r="F29" s="92"/>
      <c r="G29" s="93"/>
      <c r="H29" s="94"/>
      <c r="I29" s="53"/>
      <c r="J29" s="54"/>
      <c r="K29" s="54"/>
      <c r="M29" s="39"/>
      <c r="N29" s="71"/>
      <c r="O29" s="71"/>
    </row>
    <row r="30" ht="15.75" customHeight="1">
      <c r="A30" s="81" t="s">
        <v>90</v>
      </c>
      <c r="B30" s="95" t="s">
        <v>91</v>
      </c>
      <c r="C30" s="96">
        <v>1.0</v>
      </c>
      <c r="D30" s="84"/>
      <c r="E30" s="53"/>
      <c r="F30" s="84"/>
      <c r="G30" s="53"/>
      <c r="H30" s="84"/>
      <c r="I30" s="53"/>
      <c r="J30" s="54"/>
      <c r="K30" s="54"/>
      <c r="M30" s="39"/>
      <c r="N30" s="71"/>
      <c r="O30" s="71"/>
    </row>
    <row r="31" ht="15.75" customHeight="1">
      <c r="A31" s="77">
        <v>3.2</v>
      </c>
      <c r="B31" s="97" t="s">
        <v>92</v>
      </c>
      <c r="C31" s="98"/>
      <c r="D31" s="65"/>
      <c r="E31" s="65"/>
      <c r="F31" s="65"/>
      <c r="G31" s="65"/>
      <c r="H31" s="65"/>
      <c r="I31" s="65"/>
      <c r="J31" s="38"/>
      <c r="K31" s="38"/>
      <c r="M31" s="39"/>
      <c r="N31" s="71"/>
      <c r="O31" s="71"/>
    </row>
    <row r="32" ht="15.75" customHeight="1">
      <c r="A32" s="81" t="s">
        <v>93</v>
      </c>
      <c r="B32" s="99" t="s">
        <v>94</v>
      </c>
      <c r="C32" s="69">
        <v>3.0</v>
      </c>
      <c r="D32" s="50"/>
      <c r="E32" s="51"/>
      <c r="F32" s="50"/>
      <c r="G32" s="51"/>
      <c r="H32" s="52"/>
      <c r="I32" s="53"/>
      <c r="J32" s="54"/>
      <c r="K32" s="54"/>
      <c r="M32" s="39"/>
      <c r="N32" s="71"/>
      <c r="O32" s="71"/>
    </row>
    <row r="33" ht="15.75" customHeight="1">
      <c r="A33" s="81" t="s">
        <v>95</v>
      </c>
      <c r="B33" s="100" t="s">
        <v>96</v>
      </c>
      <c r="C33" s="69">
        <v>3.0</v>
      </c>
      <c r="D33" s="50"/>
      <c r="E33" s="51"/>
      <c r="F33" s="50"/>
      <c r="G33" s="51"/>
      <c r="H33" s="52"/>
      <c r="I33" s="53"/>
      <c r="J33" s="54"/>
      <c r="K33" s="54"/>
      <c r="L33" s="39"/>
      <c r="M33" s="39"/>
      <c r="N33" s="71"/>
      <c r="O33" s="71"/>
    </row>
    <row r="34" ht="15.75" customHeight="1">
      <c r="A34" s="81" t="s">
        <v>97</v>
      </c>
      <c r="B34" s="99" t="s">
        <v>98</v>
      </c>
      <c r="C34" s="68">
        <v>2.0</v>
      </c>
      <c r="D34" s="50"/>
      <c r="E34" s="51"/>
      <c r="F34" s="50"/>
      <c r="G34" s="51"/>
      <c r="H34" s="52"/>
      <c r="I34" s="53"/>
      <c r="J34" s="54"/>
      <c r="K34" s="54"/>
      <c r="L34" s="39"/>
      <c r="M34" s="39"/>
      <c r="N34" s="71"/>
      <c r="O34" s="71"/>
    </row>
    <row r="35" ht="15.75" customHeight="1">
      <c r="A35" s="81" t="s">
        <v>99</v>
      </c>
      <c r="B35" s="100" t="s">
        <v>100</v>
      </c>
      <c r="C35" s="69">
        <v>2.0</v>
      </c>
      <c r="D35" s="50"/>
      <c r="E35" s="51"/>
      <c r="F35" s="50"/>
      <c r="G35" s="51"/>
      <c r="H35" s="52"/>
      <c r="I35" s="53"/>
      <c r="J35" s="54"/>
      <c r="K35" s="54"/>
      <c r="L35" s="39"/>
      <c r="M35" s="39"/>
      <c r="N35" s="71"/>
      <c r="O35" s="71"/>
    </row>
    <row r="36" ht="15.75" customHeight="1">
      <c r="A36" s="81" t="s">
        <v>101</v>
      </c>
      <c r="B36" s="101" t="s">
        <v>102</v>
      </c>
      <c r="C36" s="68">
        <v>1.0</v>
      </c>
      <c r="D36" s="50"/>
      <c r="E36" s="51"/>
      <c r="F36" s="50"/>
      <c r="G36" s="51"/>
      <c r="H36" s="52"/>
      <c r="I36" s="53"/>
      <c r="J36" s="54"/>
      <c r="K36" s="54"/>
      <c r="L36" s="39"/>
      <c r="M36" s="39"/>
      <c r="N36" s="71"/>
      <c r="O36" s="71"/>
    </row>
    <row r="37" ht="15.75" customHeight="1">
      <c r="A37" s="81" t="s">
        <v>103</v>
      </c>
      <c r="B37" s="100" t="s">
        <v>104</v>
      </c>
      <c r="C37" s="69">
        <v>1.0</v>
      </c>
      <c r="D37" s="50"/>
      <c r="E37" s="51"/>
      <c r="F37" s="50"/>
      <c r="G37" s="51"/>
      <c r="H37" s="52"/>
      <c r="I37" s="53"/>
      <c r="J37" s="54"/>
      <c r="K37" s="54"/>
      <c r="L37" s="39"/>
      <c r="M37" s="39"/>
      <c r="N37" s="71"/>
      <c r="O37" s="71"/>
    </row>
    <row r="38" ht="15.75" customHeight="1">
      <c r="A38" s="81" t="s">
        <v>105</v>
      </c>
      <c r="B38" s="100" t="s">
        <v>106</v>
      </c>
      <c r="C38" s="102">
        <v>1.0</v>
      </c>
      <c r="D38" s="92"/>
      <c r="E38" s="93"/>
      <c r="F38" s="92"/>
      <c r="G38" s="93"/>
      <c r="H38" s="94"/>
      <c r="I38" s="53"/>
      <c r="J38" s="54"/>
      <c r="K38" s="54"/>
      <c r="L38" s="39"/>
      <c r="M38" s="39"/>
      <c r="N38" s="71"/>
      <c r="O38" s="71"/>
    </row>
    <row r="39" ht="15.75" customHeight="1">
      <c r="A39" s="103">
        <v>3.3</v>
      </c>
      <c r="B39" s="104" t="s">
        <v>107</v>
      </c>
      <c r="C39" s="105"/>
      <c r="D39" s="36"/>
      <c r="E39" s="36"/>
      <c r="F39" s="36"/>
      <c r="G39" s="36"/>
      <c r="H39" s="37"/>
      <c r="I39" s="65"/>
      <c r="J39" s="38" t="s">
        <v>108</v>
      </c>
      <c r="K39" s="38"/>
      <c r="L39" s="39"/>
      <c r="M39" s="39"/>
      <c r="N39" s="39"/>
      <c r="O39" s="39"/>
    </row>
    <row r="40" ht="15.75" customHeight="1">
      <c r="A40" s="81" t="s">
        <v>109</v>
      </c>
      <c r="B40" s="67" t="s">
        <v>110</v>
      </c>
      <c r="C40" s="68">
        <v>1.0</v>
      </c>
      <c r="D40" s="50"/>
      <c r="E40" s="51"/>
      <c r="F40" s="50"/>
      <c r="G40" s="51"/>
      <c r="H40" s="52"/>
      <c r="I40" s="53"/>
      <c r="J40" s="54"/>
      <c r="K40" s="54"/>
      <c r="L40" s="39"/>
      <c r="M40" s="39"/>
      <c r="N40" s="39"/>
      <c r="O40" s="39"/>
    </row>
    <row r="41" ht="15.75" customHeight="1">
      <c r="A41" s="81" t="s">
        <v>111</v>
      </c>
      <c r="B41" s="99" t="s">
        <v>112</v>
      </c>
      <c r="C41" s="68">
        <v>2.0</v>
      </c>
      <c r="D41" s="50"/>
      <c r="E41" s="51"/>
      <c r="F41" s="50"/>
      <c r="G41" s="51"/>
      <c r="H41" s="52"/>
      <c r="I41" s="53"/>
      <c r="J41" s="54"/>
      <c r="K41" s="54"/>
      <c r="L41" s="39"/>
      <c r="M41" s="39"/>
      <c r="N41" s="39"/>
      <c r="O41" s="39"/>
    </row>
    <row r="42" ht="15.75" customHeight="1">
      <c r="A42" s="81" t="s">
        <v>113</v>
      </c>
      <c r="B42" s="99" t="s">
        <v>114</v>
      </c>
      <c r="C42" s="68">
        <v>1.0</v>
      </c>
      <c r="D42" s="50"/>
      <c r="E42" s="51"/>
      <c r="F42" s="50"/>
      <c r="G42" s="51"/>
      <c r="H42" s="52"/>
      <c r="I42" s="53"/>
      <c r="J42" s="54"/>
      <c r="K42" s="54"/>
      <c r="L42" s="39"/>
      <c r="M42" s="39"/>
      <c r="N42" s="39"/>
      <c r="O42" s="106"/>
    </row>
    <row r="43" ht="15.75" customHeight="1">
      <c r="A43" s="81"/>
      <c r="B43" s="67" t="s">
        <v>115</v>
      </c>
      <c r="C43" s="68">
        <v>1.0</v>
      </c>
      <c r="D43" s="50"/>
      <c r="E43" s="51"/>
      <c r="F43" s="50"/>
      <c r="G43" s="51"/>
      <c r="H43" s="52"/>
      <c r="I43" s="53"/>
      <c r="J43" s="54"/>
      <c r="K43" s="54"/>
      <c r="L43" s="39"/>
      <c r="M43" s="39"/>
      <c r="N43" s="39"/>
      <c r="O43" s="106"/>
    </row>
    <row r="44" ht="15.75" customHeight="1">
      <c r="A44" s="81" t="s">
        <v>116</v>
      </c>
      <c r="B44" s="107" t="s">
        <v>117</v>
      </c>
      <c r="C44" s="69">
        <v>2.0</v>
      </c>
      <c r="D44" s="50"/>
      <c r="E44" s="51"/>
      <c r="F44" s="50"/>
      <c r="G44" s="51"/>
      <c r="H44" s="52"/>
      <c r="I44" s="53"/>
      <c r="J44" s="54"/>
      <c r="K44" s="54"/>
      <c r="L44" s="39"/>
      <c r="M44" s="39"/>
      <c r="N44" s="39"/>
      <c r="O44" s="106"/>
    </row>
    <row r="45" ht="15.75" customHeight="1">
      <c r="A45" s="77">
        <v>3.4</v>
      </c>
      <c r="B45" s="104" t="s">
        <v>118</v>
      </c>
      <c r="C45" s="105"/>
      <c r="D45" s="36"/>
      <c r="E45" s="36"/>
      <c r="F45" s="36"/>
      <c r="G45" s="36"/>
      <c r="H45" s="37"/>
      <c r="I45" s="65"/>
      <c r="J45" s="38"/>
      <c r="K45" s="38"/>
    </row>
    <row r="46" ht="15.75" customHeight="1">
      <c r="A46" s="81" t="s">
        <v>119</v>
      </c>
      <c r="B46" s="67" t="s">
        <v>120</v>
      </c>
      <c r="C46" s="68">
        <v>2.0</v>
      </c>
      <c r="D46" s="50"/>
      <c r="E46" s="51"/>
      <c r="F46" s="50"/>
      <c r="G46" s="51"/>
      <c r="H46" s="52"/>
      <c r="I46" s="53"/>
      <c r="J46" s="54"/>
      <c r="K46" s="54"/>
    </row>
    <row r="47" ht="21.75" customHeight="1">
      <c r="A47" s="108">
        <v>4.0</v>
      </c>
      <c r="B47" s="109" t="s">
        <v>121</v>
      </c>
      <c r="C47" s="110"/>
      <c r="D47" s="36"/>
      <c r="E47" s="36"/>
      <c r="F47" s="36"/>
      <c r="G47" s="36"/>
      <c r="H47" s="36"/>
      <c r="I47" s="111"/>
      <c r="J47" s="38"/>
      <c r="K47" s="38"/>
    </row>
    <row r="48" ht="15.75" customHeight="1">
      <c r="A48" s="112" t="s">
        <v>122</v>
      </c>
      <c r="B48" s="100" t="s">
        <v>123</v>
      </c>
      <c r="C48" s="113">
        <v>1.0</v>
      </c>
      <c r="D48" s="114"/>
      <c r="E48" s="115"/>
      <c r="F48" s="116"/>
      <c r="G48" s="115"/>
      <c r="H48" s="116"/>
      <c r="I48" s="117"/>
      <c r="J48" s="54"/>
      <c r="K48" s="54"/>
    </row>
    <row r="49" ht="15.75" customHeight="1">
      <c r="A49" s="112" t="s">
        <v>124</v>
      </c>
      <c r="B49" s="85" t="s">
        <v>125</v>
      </c>
      <c r="C49" s="118">
        <v>2.0</v>
      </c>
      <c r="D49" s="119"/>
      <c r="E49" s="120"/>
      <c r="F49" s="121"/>
      <c r="G49" s="122"/>
      <c r="H49" s="123"/>
      <c r="I49" s="120"/>
      <c r="J49" s="54"/>
      <c r="K49" s="54"/>
    </row>
    <row r="50" ht="15.75" customHeight="1">
      <c r="A50" s="112" t="s">
        <v>126</v>
      </c>
      <c r="B50" s="85" t="s">
        <v>127</v>
      </c>
      <c r="C50" s="124">
        <v>1.0</v>
      </c>
      <c r="D50" s="125"/>
      <c r="E50" s="120"/>
      <c r="F50" s="123"/>
      <c r="G50" s="120"/>
      <c r="H50" s="123"/>
      <c r="I50" s="122"/>
      <c r="J50" s="54"/>
      <c r="K50" s="54"/>
    </row>
    <row r="51" ht="15.75" customHeight="1">
      <c r="A51" s="112" t="s">
        <v>128</v>
      </c>
      <c r="B51" s="85" t="s">
        <v>129</v>
      </c>
      <c r="C51" s="124">
        <v>1.0</v>
      </c>
      <c r="D51" s="119"/>
      <c r="E51" s="120"/>
      <c r="F51" s="123"/>
      <c r="G51" s="120"/>
      <c r="H51" s="123"/>
      <c r="I51" s="122"/>
      <c r="J51" s="54"/>
      <c r="K51" s="54"/>
    </row>
    <row r="52" ht="15.75" customHeight="1">
      <c r="A52" s="112" t="s">
        <v>130</v>
      </c>
      <c r="B52" s="85" t="s">
        <v>131</v>
      </c>
      <c r="C52" s="124">
        <v>1.0</v>
      </c>
      <c r="D52" s="119"/>
      <c r="E52" s="120"/>
      <c r="F52" s="123"/>
      <c r="G52" s="120"/>
      <c r="H52" s="123"/>
      <c r="I52" s="122"/>
      <c r="J52" s="54"/>
      <c r="K52" s="54"/>
    </row>
    <row r="53" ht="15.75" customHeight="1">
      <c r="A53" s="112" t="s">
        <v>132</v>
      </c>
      <c r="B53" s="85" t="s">
        <v>133</v>
      </c>
      <c r="C53" s="118">
        <v>2.0</v>
      </c>
      <c r="D53" s="125"/>
      <c r="E53" s="120"/>
      <c r="F53" s="121"/>
      <c r="G53" s="120"/>
      <c r="H53" s="121"/>
      <c r="I53" s="120"/>
      <c r="J53" s="54"/>
      <c r="K53" s="54"/>
    </row>
    <row r="54" ht="15.75" customHeight="1">
      <c r="A54" s="112" t="s">
        <v>134</v>
      </c>
      <c r="B54" s="85" t="s">
        <v>135</v>
      </c>
      <c r="C54" s="118">
        <v>1.0</v>
      </c>
      <c r="D54" s="125"/>
      <c r="E54" s="122"/>
      <c r="F54" s="123"/>
      <c r="G54" s="120"/>
      <c r="H54" s="123"/>
      <c r="I54" s="120"/>
      <c r="J54" s="54"/>
      <c r="K54" s="54"/>
    </row>
    <row r="55" ht="15.75" customHeight="1">
      <c r="A55" s="112" t="s">
        <v>136</v>
      </c>
      <c r="B55" s="85" t="s">
        <v>137</v>
      </c>
      <c r="C55" s="118">
        <v>1.0</v>
      </c>
      <c r="D55" s="125"/>
      <c r="E55" s="122"/>
      <c r="F55" s="123"/>
      <c r="G55" s="120"/>
      <c r="H55" s="123"/>
      <c r="I55" s="120"/>
      <c r="J55" s="54"/>
      <c r="K55" s="54"/>
      <c r="L55" s="126" t="s">
        <v>138</v>
      </c>
    </row>
    <row r="56" ht="15.75" customHeight="1">
      <c r="A56" s="112" t="s">
        <v>139</v>
      </c>
      <c r="B56" s="85" t="s">
        <v>140</v>
      </c>
      <c r="C56" s="118">
        <v>1.0</v>
      </c>
      <c r="D56" s="125"/>
      <c r="E56" s="122"/>
      <c r="F56" s="123"/>
      <c r="G56" s="120"/>
      <c r="H56" s="123"/>
      <c r="I56" s="120"/>
      <c r="J56" s="54"/>
      <c r="K56" s="54"/>
    </row>
    <row r="57" ht="18.75" customHeight="1">
      <c r="A57" s="112" t="s">
        <v>141</v>
      </c>
      <c r="B57" s="85" t="s">
        <v>142</v>
      </c>
      <c r="C57" s="118">
        <v>1.0</v>
      </c>
      <c r="D57" s="125"/>
      <c r="E57" s="120"/>
      <c r="F57" s="123"/>
      <c r="G57" s="120"/>
      <c r="H57" s="123"/>
      <c r="I57" s="120"/>
      <c r="J57" s="54"/>
      <c r="K57" s="54"/>
    </row>
    <row r="58" ht="21.75" customHeight="1">
      <c r="A58" s="127"/>
      <c r="B58" s="128" t="s">
        <v>143</v>
      </c>
      <c r="C58" s="129" t="s">
        <v>18</v>
      </c>
      <c r="D58" s="130">
        <f>SUM(D48:D57,D24:D46,D11:D22,D4:D9)</f>
        <v>0</v>
      </c>
      <c r="E58" s="130">
        <f t="shared" ref="E58:I58" si="1">SUM(E48:E57,E23:E46,E11:E22,E4:E9)</f>
        <v>0</v>
      </c>
      <c r="F58" s="130">
        <f t="shared" si="1"/>
        <v>0</v>
      </c>
      <c r="G58" s="130">
        <f t="shared" si="1"/>
        <v>0</v>
      </c>
      <c r="H58" s="130">
        <f t="shared" si="1"/>
        <v>0</v>
      </c>
      <c r="I58" s="131">
        <f t="shared" si="1"/>
        <v>0</v>
      </c>
      <c r="J58" s="132"/>
      <c r="K58" s="132"/>
    </row>
    <row r="59" ht="15.75" customHeight="1">
      <c r="A59" s="133"/>
      <c r="C59" s="134"/>
      <c r="D59" s="134"/>
      <c r="E59" s="134"/>
      <c r="F59" s="134"/>
      <c r="G59" s="134"/>
      <c r="H59" s="134"/>
      <c r="I59" s="134"/>
    </row>
    <row r="60" ht="15.75" customHeight="1">
      <c r="A60" s="133"/>
      <c r="C60" s="134"/>
      <c r="D60" s="134"/>
      <c r="E60" s="134"/>
      <c r="F60" s="134"/>
      <c r="G60" s="134"/>
      <c r="H60" s="134"/>
      <c r="I60" s="134"/>
    </row>
    <row r="61" ht="15.75" customHeight="1">
      <c r="A61" s="133"/>
      <c r="C61" s="134"/>
      <c r="D61" s="134"/>
      <c r="E61" s="134"/>
      <c r="F61" s="134"/>
      <c r="G61" s="134"/>
      <c r="H61" s="134"/>
      <c r="I61" s="134"/>
    </row>
    <row r="62" ht="15.75" customHeight="1">
      <c r="A62" s="133"/>
      <c r="C62" s="134"/>
      <c r="D62" s="134"/>
      <c r="E62" s="134"/>
      <c r="F62" s="134"/>
      <c r="G62" s="134"/>
      <c r="H62" s="134"/>
      <c r="I62" s="134"/>
    </row>
    <row r="63" ht="15.75" customHeight="1">
      <c r="A63" s="133"/>
      <c r="C63" s="134"/>
      <c r="D63" s="134"/>
      <c r="E63" s="134"/>
      <c r="F63" s="134"/>
      <c r="G63" s="134"/>
      <c r="H63" s="134"/>
      <c r="I63" s="134"/>
    </row>
    <row r="64" ht="15.75" customHeight="1">
      <c r="A64" s="133"/>
      <c r="C64" s="134"/>
      <c r="D64" s="134"/>
      <c r="E64" s="134"/>
      <c r="F64" s="134"/>
      <c r="G64" s="134"/>
      <c r="H64" s="134"/>
      <c r="I64" s="134"/>
    </row>
    <row r="65" ht="15.75" customHeight="1">
      <c r="A65" s="133"/>
      <c r="C65" s="134"/>
      <c r="D65" s="134"/>
      <c r="E65" s="134"/>
      <c r="F65" s="134"/>
      <c r="G65" s="134"/>
      <c r="H65" s="134"/>
      <c r="I65" s="134"/>
    </row>
    <row r="66" ht="15.75" customHeight="1">
      <c r="A66" s="133"/>
      <c r="C66" s="134"/>
      <c r="D66" s="134"/>
      <c r="E66" s="134"/>
      <c r="F66" s="134"/>
      <c r="G66" s="134"/>
      <c r="H66" s="134"/>
      <c r="I66" s="134"/>
    </row>
    <row r="67" ht="15.75" customHeight="1">
      <c r="A67" s="133"/>
      <c r="C67" s="134"/>
      <c r="D67" s="134"/>
      <c r="E67" s="134"/>
      <c r="F67" s="134"/>
      <c r="G67" s="134"/>
      <c r="H67" s="134"/>
      <c r="I67" s="134"/>
    </row>
    <row r="68" ht="15.75" customHeight="1">
      <c r="A68" s="133"/>
      <c r="C68" s="134"/>
      <c r="D68" s="134"/>
      <c r="E68" s="134"/>
      <c r="F68" s="134"/>
      <c r="G68" s="134"/>
      <c r="H68" s="134"/>
      <c r="I68" s="134"/>
    </row>
    <row r="69" ht="15.75" customHeight="1">
      <c r="A69" s="133"/>
      <c r="C69" s="134"/>
      <c r="D69" s="134"/>
      <c r="E69" s="134"/>
      <c r="F69" s="134"/>
      <c r="G69" s="134"/>
      <c r="H69" s="134"/>
      <c r="I69" s="134"/>
    </row>
    <row r="70" ht="15.75" customHeight="1">
      <c r="A70" s="133"/>
      <c r="C70" s="134"/>
      <c r="D70" s="134"/>
      <c r="E70" s="134"/>
      <c r="F70" s="134"/>
      <c r="G70" s="134"/>
      <c r="H70" s="134"/>
      <c r="I70" s="134"/>
    </row>
    <row r="71" ht="15.75" customHeight="1">
      <c r="A71" s="133"/>
      <c r="C71" s="134"/>
      <c r="D71" s="134"/>
      <c r="E71" s="134"/>
      <c r="F71" s="134"/>
      <c r="G71" s="134"/>
      <c r="H71" s="134"/>
      <c r="I71" s="134"/>
    </row>
    <row r="72" ht="15.75" customHeight="1">
      <c r="A72" s="133"/>
      <c r="C72" s="134"/>
      <c r="D72" s="134"/>
      <c r="E72" s="134"/>
      <c r="F72" s="134"/>
      <c r="G72" s="134"/>
      <c r="H72" s="134"/>
      <c r="I72" s="134"/>
    </row>
    <row r="73" ht="15.75" customHeight="1">
      <c r="A73" s="133"/>
      <c r="C73" s="134"/>
      <c r="D73" s="134"/>
      <c r="E73" s="134"/>
      <c r="F73" s="134"/>
      <c r="G73" s="134"/>
      <c r="H73" s="134"/>
      <c r="I73" s="134"/>
    </row>
    <row r="74" ht="15.75" customHeight="1">
      <c r="A74" s="133"/>
      <c r="C74" s="134"/>
      <c r="D74" s="134"/>
      <c r="E74" s="134"/>
      <c r="F74" s="134"/>
      <c r="G74" s="134"/>
      <c r="H74" s="134"/>
      <c r="I74" s="134"/>
    </row>
    <row r="75" ht="15.75" customHeight="1">
      <c r="A75" s="133"/>
      <c r="C75" s="134"/>
      <c r="D75" s="134"/>
      <c r="E75" s="134"/>
      <c r="F75" s="134"/>
      <c r="G75" s="134"/>
      <c r="H75" s="134"/>
      <c r="I75" s="134"/>
    </row>
    <row r="76" ht="15.75" customHeight="1">
      <c r="A76" s="133"/>
      <c r="C76" s="134"/>
      <c r="D76" s="134"/>
      <c r="E76" s="134"/>
      <c r="F76" s="134"/>
      <c r="G76" s="134"/>
      <c r="H76" s="134"/>
      <c r="I76" s="134"/>
    </row>
    <row r="77" ht="15.75" customHeight="1">
      <c r="A77" s="133"/>
      <c r="C77" s="134"/>
      <c r="D77" s="134"/>
      <c r="E77" s="134"/>
      <c r="F77" s="134"/>
      <c r="G77" s="134"/>
      <c r="H77" s="134"/>
      <c r="I77" s="134"/>
    </row>
    <row r="78" ht="15.75" customHeight="1">
      <c r="A78" s="133"/>
      <c r="C78" s="134"/>
      <c r="D78" s="134"/>
      <c r="E78" s="134"/>
      <c r="F78" s="134"/>
      <c r="G78" s="134"/>
      <c r="H78" s="134"/>
      <c r="I78" s="134"/>
    </row>
    <row r="79" ht="15.75" customHeight="1">
      <c r="A79" s="133"/>
      <c r="C79" s="134"/>
      <c r="D79" s="134"/>
      <c r="E79" s="134"/>
      <c r="F79" s="134"/>
      <c r="G79" s="134"/>
      <c r="H79" s="134"/>
      <c r="I79" s="134"/>
    </row>
    <row r="80" ht="15.75" customHeight="1">
      <c r="A80" s="133"/>
      <c r="C80" s="134"/>
      <c r="D80" s="134"/>
      <c r="E80" s="134"/>
      <c r="F80" s="134"/>
      <c r="G80" s="134"/>
      <c r="H80" s="134"/>
      <c r="I80" s="134"/>
    </row>
    <row r="81" ht="15.75" customHeight="1">
      <c r="A81" s="133"/>
      <c r="C81" s="134"/>
      <c r="D81" s="134"/>
      <c r="E81" s="134"/>
      <c r="F81" s="134"/>
      <c r="G81" s="134"/>
      <c r="H81" s="134"/>
      <c r="I81" s="134"/>
    </row>
    <row r="82" ht="15.75" customHeight="1">
      <c r="A82" s="133"/>
      <c r="C82" s="134"/>
      <c r="D82" s="134"/>
      <c r="E82" s="134"/>
      <c r="F82" s="134"/>
      <c r="G82" s="134"/>
      <c r="H82" s="134"/>
      <c r="I82" s="134"/>
    </row>
    <row r="83" ht="15.75" customHeight="1">
      <c r="A83" s="133"/>
      <c r="C83" s="134"/>
      <c r="D83" s="134"/>
      <c r="E83" s="134"/>
      <c r="F83" s="134"/>
      <c r="G83" s="134"/>
      <c r="H83" s="134"/>
      <c r="I83" s="134"/>
    </row>
    <row r="84" ht="15.75" customHeight="1">
      <c r="A84" s="133"/>
      <c r="C84" s="134"/>
      <c r="D84" s="134"/>
      <c r="E84" s="134"/>
      <c r="F84" s="134"/>
      <c r="G84" s="134"/>
      <c r="H84" s="134"/>
      <c r="I84" s="134"/>
    </row>
    <row r="85" ht="15.75" customHeight="1">
      <c r="A85" s="133"/>
      <c r="C85" s="134"/>
      <c r="D85" s="134"/>
      <c r="E85" s="134"/>
      <c r="F85" s="134"/>
      <c r="G85" s="134"/>
      <c r="H85" s="134"/>
      <c r="I85" s="134"/>
    </row>
    <row r="86" ht="15.75" customHeight="1">
      <c r="A86" s="133"/>
      <c r="C86" s="134"/>
      <c r="D86" s="134"/>
      <c r="E86" s="134"/>
      <c r="F86" s="134"/>
      <c r="G86" s="134"/>
      <c r="H86" s="134"/>
      <c r="I86" s="134"/>
    </row>
    <row r="87" ht="15.75" customHeight="1">
      <c r="A87" s="133"/>
      <c r="C87" s="134"/>
      <c r="D87" s="134"/>
      <c r="E87" s="134"/>
      <c r="F87" s="134"/>
      <c r="G87" s="134"/>
      <c r="H87" s="134"/>
      <c r="I87" s="134"/>
    </row>
    <row r="88" ht="15.75" customHeight="1">
      <c r="A88" s="133"/>
      <c r="C88" s="134"/>
      <c r="D88" s="134"/>
      <c r="E88" s="134"/>
      <c r="F88" s="134"/>
      <c r="G88" s="134"/>
      <c r="H88" s="134"/>
      <c r="I88" s="134"/>
    </row>
    <row r="89" ht="15.75" customHeight="1">
      <c r="A89" s="133"/>
      <c r="C89" s="134"/>
      <c r="D89" s="134"/>
      <c r="E89" s="134"/>
      <c r="F89" s="134"/>
      <c r="G89" s="134"/>
      <c r="H89" s="134"/>
      <c r="I89" s="134"/>
    </row>
    <row r="90" ht="15.75" customHeight="1">
      <c r="A90" s="133"/>
      <c r="C90" s="134"/>
      <c r="D90" s="134"/>
      <c r="E90" s="134"/>
      <c r="F90" s="134"/>
      <c r="G90" s="134"/>
      <c r="H90" s="134"/>
      <c r="I90" s="134"/>
    </row>
    <row r="91" ht="15.75" customHeight="1">
      <c r="A91" s="133"/>
      <c r="C91" s="134"/>
      <c r="D91" s="134"/>
      <c r="E91" s="134"/>
      <c r="F91" s="134"/>
      <c r="G91" s="134"/>
      <c r="H91" s="134"/>
      <c r="I91" s="134"/>
    </row>
    <row r="92" ht="15.75" customHeight="1">
      <c r="A92" s="133"/>
      <c r="C92" s="134"/>
      <c r="D92" s="134"/>
      <c r="E92" s="134"/>
      <c r="F92" s="134"/>
      <c r="G92" s="134"/>
      <c r="H92" s="134"/>
      <c r="I92" s="134"/>
    </row>
    <row r="93" ht="15.75" customHeight="1">
      <c r="A93" s="133"/>
      <c r="C93" s="134"/>
      <c r="D93" s="134"/>
      <c r="E93" s="134"/>
      <c r="F93" s="134"/>
      <c r="G93" s="134"/>
      <c r="H93" s="134"/>
      <c r="I93" s="134"/>
    </row>
    <row r="94" ht="15.75" customHeight="1">
      <c r="A94" s="133"/>
      <c r="C94" s="134"/>
      <c r="D94" s="134"/>
      <c r="E94" s="134"/>
      <c r="F94" s="134"/>
      <c r="G94" s="134"/>
      <c r="H94" s="134"/>
      <c r="I94" s="134"/>
    </row>
    <row r="95" ht="15.75" customHeight="1">
      <c r="A95" s="133"/>
      <c r="C95" s="134"/>
      <c r="D95" s="134"/>
      <c r="E95" s="134"/>
      <c r="F95" s="134"/>
      <c r="G95" s="134"/>
      <c r="H95" s="134"/>
      <c r="I95" s="134"/>
    </row>
    <row r="96" ht="15.75" customHeight="1">
      <c r="A96" s="133"/>
      <c r="C96" s="134"/>
      <c r="D96" s="134"/>
      <c r="E96" s="134"/>
      <c r="F96" s="134"/>
      <c r="G96" s="134"/>
      <c r="H96" s="134"/>
      <c r="I96" s="134"/>
    </row>
    <row r="97" ht="15.75" customHeight="1">
      <c r="A97" s="133"/>
      <c r="C97" s="134"/>
      <c r="D97" s="134"/>
      <c r="E97" s="134"/>
      <c r="F97" s="134"/>
      <c r="G97" s="134"/>
      <c r="H97" s="134"/>
      <c r="I97" s="134"/>
    </row>
    <row r="98" ht="15.75" customHeight="1">
      <c r="A98" s="133"/>
      <c r="C98" s="134"/>
      <c r="D98" s="134"/>
      <c r="E98" s="134"/>
      <c r="F98" s="134"/>
      <c r="G98" s="134"/>
      <c r="H98" s="134"/>
      <c r="I98" s="134"/>
    </row>
    <row r="99" ht="15.75" customHeight="1">
      <c r="A99" s="133"/>
      <c r="C99" s="134"/>
      <c r="D99" s="134"/>
      <c r="E99" s="134"/>
      <c r="F99" s="134"/>
      <c r="G99" s="134"/>
      <c r="H99" s="134"/>
      <c r="I99" s="134"/>
    </row>
    <row r="100" ht="15.75" customHeight="1">
      <c r="A100" s="133"/>
      <c r="C100" s="134"/>
      <c r="D100" s="134"/>
      <c r="E100" s="134"/>
      <c r="F100" s="134"/>
      <c r="G100" s="134"/>
      <c r="H100" s="134"/>
      <c r="I100" s="134"/>
    </row>
    <row r="101" ht="15.75" customHeight="1">
      <c r="A101" s="133"/>
      <c r="C101" s="134"/>
      <c r="D101" s="134"/>
      <c r="E101" s="134"/>
      <c r="F101" s="134"/>
      <c r="G101" s="134"/>
      <c r="H101" s="134"/>
      <c r="I101" s="134"/>
    </row>
    <row r="102" ht="15.75" customHeight="1">
      <c r="A102" s="133"/>
      <c r="C102" s="134"/>
      <c r="D102" s="134"/>
      <c r="E102" s="134"/>
      <c r="F102" s="134"/>
      <c r="G102" s="134"/>
      <c r="H102" s="134"/>
      <c r="I102" s="134"/>
    </row>
    <row r="103" ht="15.75" customHeight="1">
      <c r="A103" s="133"/>
      <c r="C103" s="134"/>
      <c r="D103" s="134"/>
      <c r="E103" s="134"/>
      <c r="F103" s="134"/>
      <c r="G103" s="134"/>
      <c r="H103" s="134"/>
      <c r="I103" s="134"/>
    </row>
    <row r="104" ht="15.75" customHeight="1">
      <c r="A104" s="133"/>
      <c r="C104" s="134"/>
      <c r="D104" s="134"/>
      <c r="E104" s="134"/>
      <c r="F104" s="134"/>
      <c r="G104" s="134"/>
      <c r="H104" s="134"/>
      <c r="I104" s="134"/>
    </row>
    <row r="105" ht="15.75" customHeight="1">
      <c r="A105" s="133"/>
      <c r="C105" s="134"/>
      <c r="D105" s="134"/>
      <c r="E105" s="134"/>
      <c r="F105" s="134"/>
      <c r="G105" s="134"/>
      <c r="H105" s="134"/>
      <c r="I105" s="134"/>
    </row>
    <row r="106" ht="15.75" customHeight="1">
      <c r="A106" s="133"/>
      <c r="C106" s="134"/>
      <c r="D106" s="134"/>
      <c r="E106" s="134"/>
      <c r="F106" s="134"/>
      <c r="G106" s="134"/>
      <c r="H106" s="134"/>
      <c r="I106" s="134"/>
    </row>
    <row r="107" ht="15.75" customHeight="1">
      <c r="A107" s="133"/>
      <c r="C107" s="134"/>
      <c r="D107" s="134"/>
      <c r="E107" s="134"/>
      <c r="F107" s="134"/>
      <c r="G107" s="134"/>
      <c r="H107" s="134"/>
      <c r="I107" s="134"/>
    </row>
    <row r="108" ht="15.75" customHeight="1">
      <c r="A108" s="133"/>
      <c r="C108" s="134"/>
      <c r="D108" s="134"/>
      <c r="E108" s="134"/>
      <c r="F108" s="134"/>
      <c r="G108" s="134"/>
      <c r="H108" s="134"/>
      <c r="I108" s="134"/>
    </row>
    <row r="109" ht="15.75" customHeight="1">
      <c r="A109" s="133"/>
      <c r="C109" s="134"/>
      <c r="D109" s="134"/>
      <c r="E109" s="134"/>
      <c r="F109" s="134"/>
      <c r="G109" s="134"/>
      <c r="H109" s="134"/>
      <c r="I109" s="134"/>
    </row>
    <row r="110" ht="15.75" customHeight="1">
      <c r="A110" s="133"/>
      <c r="C110" s="134"/>
      <c r="D110" s="134"/>
      <c r="E110" s="134"/>
      <c r="F110" s="134"/>
      <c r="G110" s="134"/>
      <c r="H110" s="134"/>
      <c r="I110" s="134"/>
    </row>
    <row r="111" ht="15.75" customHeight="1">
      <c r="A111" s="133"/>
      <c r="C111" s="134"/>
      <c r="D111" s="134"/>
      <c r="E111" s="134"/>
      <c r="F111" s="134"/>
      <c r="G111" s="134"/>
      <c r="H111" s="134"/>
      <c r="I111" s="134"/>
    </row>
    <row r="112" ht="15.75" customHeight="1">
      <c r="A112" s="133"/>
      <c r="C112" s="134"/>
      <c r="D112" s="134"/>
      <c r="E112" s="134"/>
      <c r="F112" s="134"/>
      <c r="G112" s="134"/>
      <c r="H112" s="134"/>
      <c r="I112" s="134"/>
    </row>
    <row r="113" ht="15.75" customHeight="1">
      <c r="A113" s="133"/>
      <c r="C113" s="134"/>
      <c r="D113" s="134"/>
      <c r="E113" s="134"/>
      <c r="F113" s="134"/>
      <c r="G113" s="134"/>
      <c r="H113" s="134"/>
      <c r="I113" s="134"/>
    </row>
    <row r="114" ht="15.75" customHeight="1">
      <c r="A114" s="133"/>
      <c r="C114" s="134"/>
      <c r="D114" s="134"/>
      <c r="E114" s="134"/>
      <c r="F114" s="134"/>
      <c r="G114" s="134"/>
      <c r="H114" s="134"/>
      <c r="I114" s="134"/>
    </row>
    <row r="115" ht="15.75" customHeight="1">
      <c r="A115" s="133"/>
      <c r="C115" s="134"/>
      <c r="D115" s="134"/>
      <c r="E115" s="134"/>
      <c r="F115" s="134"/>
      <c r="G115" s="134"/>
      <c r="H115" s="134"/>
      <c r="I115" s="134"/>
    </row>
    <row r="116" ht="15.75" customHeight="1">
      <c r="A116" s="133"/>
      <c r="C116" s="134"/>
      <c r="D116" s="134"/>
      <c r="E116" s="134"/>
      <c r="F116" s="134"/>
      <c r="G116" s="134"/>
      <c r="H116" s="134"/>
      <c r="I116" s="134"/>
    </row>
    <row r="117" ht="15.75" customHeight="1">
      <c r="A117" s="133"/>
      <c r="C117" s="134"/>
      <c r="D117" s="134"/>
      <c r="E117" s="134"/>
      <c r="F117" s="134"/>
      <c r="G117" s="134"/>
      <c r="H117" s="134"/>
      <c r="I117" s="134"/>
    </row>
    <row r="118" ht="15.75" customHeight="1">
      <c r="A118" s="133"/>
      <c r="C118" s="134"/>
      <c r="D118" s="134"/>
      <c r="E118" s="134"/>
      <c r="F118" s="134"/>
      <c r="G118" s="134"/>
      <c r="H118" s="134"/>
      <c r="I118" s="134"/>
    </row>
    <row r="119" ht="15.75" customHeight="1">
      <c r="A119" s="133"/>
      <c r="C119" s="134"/>
      <c r="D119" s="134"/>
      <c r="E119" s="134"/>
      <c r="F119" s="134"/>
      <c r="G119" s="134"/>
      <c r="H119" s="134"/>
      <c r="I119" s="134"/>
    </row>
    <row r="120" ht="15.75" customHeight="1">
      <c r="A120" s="133"/>
      <c r="C120" s="134"/>
      <c r="D120" s="134"/>
      <c r="E120" s="134"/>
      <c r="F120" s="134"/>
      <c r="G120" s="134"/>
      <c r="H120" s="134"/>
      <c r="I120" s="134"/>
    </row>
    <row r="121" ht="15.75" customHeight="1">
      <c r="A121" s="133"/>
      <c r="C121" s="134"/>
      <c r="D121" s="134"/>
      <c r="E121" s="134"/>
      <c r="F121" s="134"/>
      <c r="G121" s="134"/>
      <c r="H121" s="134"/>
      <c r="I121" s="134"/>
    </row>
    <row r="122" ht="15.75" customHeight="1">
      <c r="A122" s="133"/>
      <c r="C122" s="134"/>
      <c r="D122" s="134"/>
      <c r="E122" s="134"/>
      <c r="F122" s="134"/>
      <c r="G122" s="134"/>
      <c r="H122" s="134"/>
      <c r="I122" s="134"/>
    </row>
    <row r="123" ht="15.75" customHeight="1">
      <c r="A123" s="133"/>
      <c r="C123" s="134"/>
      <c r="D123" s="134"/>
      <c r="E123" s="134"/>
      <c r="F123" s="134"/>
      <c r="G123" s="134"/>
      <c r="H123" s="134"/>
      <c r="I123" s="134"/>
    </row>
    <row r="124" ht="15.75" customHeight="1">
      <c r="A124" s="133"/>
      <c r="C124" s="134"/>
      <c r="D124" s="134"/>
      <c r="E124" s="134"/>
      <c r="F124" s="134"/>
      <c r="G124" s="134"/>
      <c r="H124" s="134"/>
      <c r="I124" s="134"/>
    </row>
    <row r="125" ht="15.75" customHeight="1">
      <c r="A125" s="133"/>
      <c r="C125" s="134"/>
      <c r="D125" s="134"/>
      <c r="E125" s="134"/>
      <c r="F125" s="134"/>
      <c r="G125" s="134"/>
      <c r="H125" s="134"/>
      <c r="I125" s="134"/>
    </row>
    <row r="126" ht="15.75" customHeight="1">
      <c r="A126" s="133"/>
      <c r="C126" s="134"/>
      <c r="D126" s="134"/>
      <c r="E126" s="134"/>
      <c r="F126" s="134"/>
      <c r="G126" s="134"/>
      <c r="H126" s="134"/>
      <c r="I126" s="134"/>
    </row>
    <row r="127" ht="15.75" customHeight="1">
      <c r="A127" s="133"/>
      <c r="C127" s="134"/>
      <c r="D127" s="134"/>
      <c r="E127" s="134"/>
      <c r="F127" s="134"/>
      <c r="G127" s="134"/>
      <c r="H127" s="134"/>
      <c r="I127" s="134"/>
    </row>
    <row r="128" ht="15.75" customHeight="1">
      <c r="A128" s="133"/>
      <c r="C128" s="134"/>
      <c r="D128" s="134"/>
      <c r="E128" s="134"/>
      <c r="F128" s="134"/>
      <c r="G128" s="134"/>
      <c r="H128" s="134"/>
      <c r="I128" s="134"/>
    </row>
    <row r="129" ht="15.75" customHeight="1">
      <c r="A129" s="133"/>
      <c r="C129" s="134"/>
      <c r="D129" s="134"/>
      <c r="E129" s="134"/>
      <c r="F129" s="134"/>
      <c r="G129" s="134"/>
      <c r="H129" s="134"/>
      <c r="I129" s="134"/>
    </row>
    <row r="130" ht="15.75" customHeight="1">
      <c r="A130" s="133"/>
      <c r="C130" s="134"/>
      <c r="D130" s="134"/>
      <c r="E130" s="134"/>
      <c r="F130" s="134"/>
      <c r="G130" s="134"/>
      <c r="H130" s="134"/>
      <c r="I130" s="134"/>
    </row>
    <row r="131" ht="15.75" customHeight="1">
      <c r="A131" s="133"/>
      <c r="C131" s="134"/>
      <c r="D131" s="134"/>
      <c r="E131" s="134"/>
      <c r="F131" s="134"/>
      <c r="G131" s="134"/>
      <c r="H131" s="134"/>
      <c r="I131" s="134"/>
    </row>
    <row r="132" ht="15.75" customHeight="1">
      <c r="A132" s="133"/>
      <c r="C132" s="134"/>
      <c r="D132" s="134"/>
      <c r="E132" s="134"/>
      <c r="F132" s="134"/>
      <c r="G132" s="134"/>
      <c r="H132" s="134"/>
      <c r="I132" s="134"/>
    </row>
    <row r="133" ht="15.75" customHeight="1">
      <c r="A133" s="133"/>
      <c r="C133" s="134"/>
      <c r="D133" s="134"/>
      <c r="E133" s="134"/>
      <c r="F133" s="134"/>
      <c r="G133" s="134"/>
      <c r="H133" s="134"/>
      <c r="I133" s="134"/>
    </row>
    <row r="134" ht="15.75" customHeight="1">
      <c r="A134" s="133"/>
      <c r="C134" s="134"/>
      <c r="D134" s="134"/>
      <c r="E134" s="134"/>
      <c r="F134" s="134"/>
      <c r="G134" s="134"/>
      <c r="H134" s="134"/>
      <c r="I134" s="134"/>
    </row>
    <row r="135" ht="15.75" customHeight="1">
      <c r="A135" s="133"/>
      <c r="C135" s="134"/>
      <c r="D135" s="134"/>
      <c r="E135" s="134"/>
      <c r="F135" s="134"/>
      <c r="G135" s="134"/>
      <c r="H135" s="134"/>
      <c r="I135" s="134"/>
    </row>
    <row r="136" ht="15.75" customHeight="1">
      <c r="A136" s="133"/>
      <c r="C136" s="134"/>
      <c r="D136" s="134"/>
      <c r="E136" s="134"/>
      <c r="F136" s="134"/>
      <c r="G136" s="134"/>
      <c r="H136" s="134"/>
      <c r="I136" s="134"/>
    </row>
    <row r="137" ht="15.75" customHeight="1">
      <c r="A137" s="133"/>
      <c r="C137" s="134"/>
      <c r="D137" s="134"/>
      <c r="E137" s="134"/>
      <c r="F137" s="134"/>
      <c r="G137" s="134"/>
      <c r="H137" s="134"/>
      <c r="I137" s="134"/>
    </row>
    <row r="138" ht="15.75" customHeight="1">
      <c r="A138" s="133"/>
      <c r="C138" s="134"/>
      <c r="D138" s="134"/>
      <c r="E138" s="134"/>
      <c r="F138" s="134"/>
      <c r="G138" s="134"/>
      <c r="H138" s="134"/>
      <c r="I138" s="134"/>
    </row>
    <row r="139" ht="15.75" customHeight="1">
      <c r="A139" s="133"/>
      <c r="C139" s="134"/>
      <c r="D139" s="134"/>
      <c r="E139" s="134"/>
      <c r="F139" s="134"/>
      <c r="G139" s="134"/>
      <c r="H139" s="134"/>
      <c r="I139" s="134"/>
    </row>
    <row r="140" ht="15.75" customHeight="1">
      <c r="A140" s="133"/>
      <c r="C140" s="134"/>
      <c r="D140" s="134"/>
      <c r="E140" s="134"/>
      <c r="F140" s="134"/>
      <c r="G140" s="134"/>
      <c r="H140" s="134"/>
      <c r="I140" s="134"/>
    </row>
    <row r="141" ht="15.75" customHeight="1">
      <c r="A141" s="133"/>
      <c r="C141" s="134"/>
      <c r="D141" s="134"/>
      <c r="E141" s="134"/>
      <c r="F141" s="134"/>
      <c r="G141" s="134"/>
      <c r="H141" s="134"/>
      <c r="I141" s="134"/>
    </row>
    <row r="142" ht="15.75" customHeight="1">
      <c r="A142" s="133"/>
      <c r="C142" s="134"/>
      <c r="D142" s="134"/>
      <c r="E142" s="134"/>
      <c r="F142" s="134"/>
      <c r="G142" s="134"/>
      <c r="H142" s="134"/>
      <c r="I142" s="134"/>
    </row>
    <row r="143" ht="15.75" customHeight="1">
      <c r="A143" s="133"/>
      <c r="C143" s="134"/>
      <c r="D143" s="134"/>
      <c r="E143" s="134"/>
      <c r="F143" s="134"/>
      <c r="G143" s="134"/>
      <c r="H143" s="134"/>
      <c r="I143" s="134"/>
    </row>
    <row r="144" ht="15.75" customHeight="1">
      <c r="A144" s="133"/>
      <c r="C144" s="134"/>
      <c r="D144" s="134"/>
      <c r="E144" s="134"/>
      <c r="F144" s="134"/>
      <c r="G144" s="134"/>
      <c r="H144" s="134"/>
      <c r="I144" s="134"/>
    </row>
    <row r="145" ht="15.75" customHeight="1">
      <c r="A145" s="133"/>
      <c r="C145" s="134"/>
      <c r="D145" s="134"/>
      <c r="E145" s="134"/>
      <c r="F145" s="134"/>
      <c r="G145" s="134"/>
      <c r="H145" s="134"/>
      <c r="I145" s="134"/>
    </row>
    <row r="146" ht="15.75" customHeight="1">
      <c r="A146" s="133"/>
      <c r="C146" s="134"/>
      <c r="D146" s="134"/>
      <c r="E146" s="134"/>
      <c r="F146" s="134"/>
      <c r="G146" s="134"/>
      <c r="H146" s="134"/>
      <c r="I146" s="134"/>
    </row>
    <row r="147" ht="15.75" customHeight="1">
      <c r="A147" s="133"/>
      <c r="C147" s="134"/>
      <c r="D147" s="134"/>
      <c r="E147" s="134"/>
      <c r="F147" s="134"/>
      <c r="G147" s="134"/>
      <c r="H147" s="134"/>
      <c r="I147" s="134"/>
    </row>
    <row r="148" ht="15.75" customHeight="1">
      <c r="A148" s="133"/>
      <c r="C148" s="134"/>
      <c r="D148" s="134"/>
      <c r="E148" s="134"/>
      <c r="F148" s="134"/>
      <c r="G148" s="134"/>
      <c r="H148" s="134"/>
      <c r="I148" s="134"/>
    </row>
    <row r="149" ht="15.75" customHeight="1">
      <c r="A149" s="133"/>
      <c r="C149" s="134"/>
      <c r="D149" s="134"/>
      <c r="E149" s="134"/>
      <c r="F149" s="134"/>
      <c r="G149" s="134"/>
      <c r="H149" s="134"/>
      <c r="I149" s="134"/>
    </row>
    <row r="150" ht="15.75" customHeight="1">
      <c r="A150" s="133"/>
      <c r="C150" s="134"/>
      <c r="D150" s="134"/>
      <c r="E150" s="134"/>
      <c r="F150" s="134"/>
      <c r="G150" s="134"/>
      <c r="H150" s="134"/>
      <c r="I150" s="134"/>
    </row>
    <row r="151" ht="15.75" customHeight="1">
      <c r="A151" s="133"/>
      <c r="C151" s="134"/>
      <c r="D151" s="134"/>
      <c r="E151" s="134"/>
      <c r="F151" s="134"/>
      <c r="G151" s="134"/>
      <c r="H151" s="134"/>
      <c r="I151" s="134"/>
    </row>
    <row r="152" ht="15.75" customHeight="1">
      <c r="A152" s="133"/>
      <c r="C152" s="134"/>
      <c r="D152" s="134"/>
      <c r="E152" s="134"/>
      <c r="F152" s="134"/>
      <c r="G152" s="134"/>
      <c r="H152" s="134"/>
      <c r="I152" s="134"/>
    </row>
    <row r="153" ht="15.75" customHeight="1">
      <c r="A153" s="133"/>
      <c r="C153" s="134"/>
      <c r="D153" s="134"/>
      <c r="E153" s="134"/>
      <c r="F153" s="134"/>
      <c r="G153" s="134"/>
      <c r="H153" s="134"/>
      <c r="I153" s="134"/>
    </row>
    <row r="154" ht="15.75" customHeight="1">
      <c r="A154" s="133"/>
      <c r="C154" s="134"/>
      <c r="D154" s="134"/>
      <c r="E154" s="134"/>
      <c r="F154" s="134"/>
      <c r="G154" s="134"/>
      <c r="H154" s="134"/>
      <c r="I154" s="134"/>
    </row>
    <row r="155" ht="15.75" customHeight="1">
      <c r="A155" s="133"/>
      <c r="C155" s="134"/>
      <c r="D155" s="134"/>
      <c r="E155" s="134"/>
      <c r="F155" s="134"/>
      <c r="G155" s="134"/>
      <c r="H155" s="134"/>
      <c r="I155" s="134"/>
    </row>
    <row r="156" ht="15.75" customHeight="1">
      <c r="A156" s="133"/>
      <c r="C156" s="134"/>
      <c r="D156" s="134"/>
      <c r="E156" s="134"/>
      <c r="F156" s="134"/>
      <c r="G156" s="134"/>
      <c r="H156" s="134"/>
      <c r="I156" s="134"/>
    </row>
    <row r="157" ht="15.75" customHeight="1">
      <c r="A157" s="133"/>
      <c r="C157" s="134"/>
      <c r="D157" s="134"/>
      <c r="E157" s="134"/>
      <c r="F157" s="134"/>
      <c r="G157" s="134"/>
      <c r="H157" s="134"/>
      <c r="I157" s="134"/>
    </row>
    <row r="158" ht="15.75" customHeight="1">
      <c r="A158" s="133"/>
      <c r="C158" s="134"/>
      <c r="D158" s="134"/>
      <c r="E158" s="134"/>
      <c r="F158" s="134"/>
      <c r="G158" s="134"/>
      <c r="H158" s="134"/>
      <c r="I158" s="134"/>
    </row>
    <row r="159" ht="15.75" customHeight="1">
      <c r="A159" s="133"/>
      <c r="C159" s="134"/>
      <c r="D159" s="134"/>
      <c r="E159" s="134"/>
      <c r="F159" s="134"/>
      <c r="G159" s="134"/>
      <c r="H159" s="134"/>
      <c r="I159" s="134"/>
    </row>
    <row r="160" ht="15.75" customHeight="1">
      <c r="A160" s="133"/>
      <c r="C160" s="134"/>
      <c r="D160" s="134"/>
      <c r="E160" s="134"/>
      <c r="F160" s="134"/>
      <c r="G160" s="134"/>
      <c r="H160" s="134"/>
      <c r="I160" s="134"/>
    </row>
    <row r="161" ht="15.75" customHeight="1">
      <c r="A161" s="133"/>
      <c r="C161" s="134"/>
      <c r="D161" s="134"/>
      <c r="E161" s="134"/>
      <c r="F161" s="134"/>
      <c r="G161" s="134"/>
      <c r="H161" s="134"/>
      <c r="I161" s="134"/>
    </row>
    <row r="162" ht="15.75" customHeight="1">
      <c r="A162" s="133"/>
      <c r="C162" s="134"/>
      <c r="D162" s="134"/>
      <c r="E162" s="134"/>
      <c r="F162" s="134"/>
      <c r="G162" s="134"/>
      <c r="H162" s="134"/>
      <c r="I162" s="134"/>
    </row>
    <row r="163" ht="15.75" customHeight="1">
      <c r="A163" s="133"/>
      <c r="C163" s="134"/>
      <c r="D163" s="134"/>
      <c r="E163" s="134"/>
      <c r="F163" s="134"/>
      <c r="G163" s="134"/>
      <c r="H163" s="134"/>
      <c r="I163" s="134"/>
    </row>
    <row r="164" ht="15.75" customHeight="1">
      <c r="A164" s="133"/>
      <c r="C164" s="134"/>
      <c r="D164" s="134"/>
      <c r="E164" s="134"/>
      <c r="F164" s="134"/>
      <c r="G164" s="134"/>
      <c r="H164" s="134"/>
      <c r="I164" s="134"/>
    </row>
    <row r="165" ht="15.75" customHeight="1">
      <c r="A165" s="133"/>
      <c r="C165" s="134"/>
      <c r="D165" s="134"/>
      <c r="E165" s="134"/>
      <c r="F165" s="134"/>
      <c r="G165" s="134"/>
      <c r="H165" s="134"/>
      <c r="I165" s="134"/>
    </row>
    <row r="166" ht="15.75" customHeight="1">
      <c r="A166" s="133"/>
      <c r="C166" s="134"/>
      <c r="D166" s="134"/>
      <c r="E166" s="134"/>
      <c r="F166" s="134"/>
      <c r="G166" s="134"/>
      <c r="H166" s="134"/>
      <c r="I166" s="134"/>
    </row>
    <row r="167" ht="15.75" customHeight="1">
      <c r="A167" s="133"/>
      <c r="C167" s="134"/>
      <c r="D167" s="134"/>
      <c r="E167" s="134"/>
      <c r="F167" s="134"/>
      <c r="G167" s="134"/>
      <c r="H167" s="134"/>
      <c r="I167" s="134"/>
    </row>
    <row r="168" ht="15.75" customHeight="1">
      <c r="A168" s="133"/>
      <c r="C168" s="134"/>
      <c r="D168" s="134"/>
      <c r="E168" s="134"/>
      <c r="F168" s="134"/>
      <c r="G168" s="134"/>
      <c r="H168" s="134"/>
      <c r="I168" s="134"/>
    </row>
    <row r="169" ht="15.75" customHeight="1">
      <c r="A169" s="133"/>
      <c r="C169" s="134"/>
      <c r="D169" s="134"/>
      <c r="E169" s="134"/>
      <c r="F169" s="134"/>
      <c r="G169" s="134"/>
      <c r="H169" s="134"/>
      <c r="I169" s="134"/>
    </row>
    <row r="170" ht="15.75" customHeight="1">
      <c r="A170" s="133"/>
      <c r="C170" s="134"/>
      <c r="D170" s="134"/>
      <c r="E170" s="134"/>
      <c r="F170" s="134"/>
      <c r="G170" s="134"/>
      <c r="H170" s="134"/>
      <c r="I170" s="134"/>
    </row>
    <row r="171" ht="15.75" customHeight="1">
      <c r="A171" s="133"/>
      <c r="C171" s="134"/>
      <c r="D171" s="134"/>
      <c r="E171" s="134"/>
      <c r="F171" s="134"/>
      <c r="G171" s="134"/>
      <c r="H171" s="134"/>
      <c r="I171" s="134"/>
    </row>
    <row r="172" ht="15.75" customHeight="1">
      <c r="A172" s="133"/>
      <c r="C172" s="134"/>
      <c r="D172" s="134"/>
      <c r="E172" s="134"/>
      <c r="F172" s="134"/>
      <c r="G172" s="134"/>
      <c r="H172" s="134"/>
      <c r="I172" s="134"/>
    </row>
    <row r="173" ht="15.75" customHeight="1">
      <c r="A173" s="133"/>
      <c r="C173" s="134"/>
      <c r="D173" s="134"/>
      <c r="E173" s="134"/>
      <c r="F173" s="134"/>
      <c r="G173" s="134"/>
      <c r="H173" s="134"/>
      <c r="I173" s="134"/>
    </row>
    <row r="174" ht="15.75" customHeight="1">
      <c r="A174" s="133"/>
      <c r="C174" s="134"/>
      <c r="D174" s="134"/>
      <c r="E174" s="134"/>
      <c r="F174" s="134"/>
      <c r="G174" s="134"/>
      <c r="H174" s="134"/>
      <c r="I174" s="134"/>
    </row>
    <row r="175" ht="15.75" customHeight="1">
      <c r="A175" s="133"/>
      <c r="C175" s="134"/>
      <c r="D175" s="134"/>
      <c r="E175" s="134"/>
      <c r="F175" s="134"/>
      <c r="G175" s="134"/>
      <c r="H175" s="134"/>
      <c r="I175" s="134"/>
    </row>
    <row r="176" ht="15.75" customHeight="1">
      <c r="A176" s="133"/>
      <c r="C176" s="134"/>
      <c r="D176" s="134"/>
      <c r="E176" s="134"/>
      <c r="F176" s="134"/>
      <c r="G176" s="134"/>
      <c r="H176" s="134"/>
      <c r="I176" s="134"/>
    </row>
    <row r="177" ht="15.75" customHeight="1">
      <c r="A177" s="133"/>
      <c r="C177" s="134"/>
      <c r="D177" s="134"/>
      <c r="E177" s="134"/>
      <c r="F177" s="134"/>
      <c r="G177" s="134"/>
      <c r="H177" s="134"/>
      <c r="I177" s="134"/>
    </row>
    <row r="178" ht="15.75" customHeight="1">
      <c r="A178" s="133"/>
      <c r="C178" s="134"/>
      <c r="D178" s="134"/>
      <c r="E178" s="134"/>
      <c r="F178" s="134"/>
      <c r="G178" s="134"/>
      <c r="H178" s="134"/>
      <c r="I178" s="134"/>
    </row>
    <row r="179" ht="15.75" customHeight="1">
      <c r="A179" s="133"/>
      <c r="C179" s="134"/>
      <c r="D179" s="134"/>
      <c r="E179" s="134"/>
      <c r="F179" s="134"/>
      <c r="G179" s="134"/>
      <c r="H179" s="134"/>
      <c r="I179" s="134"/>
    </row>
    <row r="180" ht="15.75" customHeight="1">
      <c r="A180" s="133"/>
      <c r="C180" s="134"/>
      <c r="D180" s="134"/>
      <c r="E180" s="134"/>
      <c r="F180" s="134"/>
      <c r="G180" s="134"/>
      <c r="H180" s="134"/>
      <c r="I180" s="134"/>
    </row>
    <row r="181" ht="15.75" customHeight="1">
      <c r="A181" s="133"/>
      <c r="C181" s="134"/>
      <c r="D181" s="134"/>
      <c r="E181" s="134"/>
      <c r="F181" s="134"/>
      <c r="G181" s="134"/>
      <c r="H181" s="134"/>
      <c r="I181" s="134"/>
    </row>
    <row r="182" ht="15.75" customHeight="1">
      <c r="A182" s="133"/>
      <c r="C182" s="134"/>
      <c r="D182" s="134"/>
      <c r="E182" s="134"/>
      <c r="F182" s="134"/>
      <c r="G182" s="134"/>
      <c r="H182" s="134"/>
      <c r="I182" s="134"/>
    </row>
    <row r="183" ht="15.75" customHeight="1">
      <c r="A183" s="133"/>
      <c r="C183" s="134"/>
      <c r="D183" s="134"/>
      <c r="E183" s="134"/>
      <c r="F183" s="134"/>
      <c r="G183" s="134"/>
      <c r="H183" s="134"/>
      <c r="I183" s="134"/>
    </row>
    <row r="184" ht="15.75" customHeight="1">
      <c r="A184" s="133"/>
      <c r="C184" s="134"/>
      <c r="D184" s="134"/>
      <c r="E184" s="134"/>
      <c r="F184" s="134"/>
      <c r="G184" s="134"/>
      <c r="H184" s="134"/>
      <c r="I184" s="134"/>
    </row>
    <row r="185" ht="15.75" customHeight="1">
      <c r="A185" s="133"/>
      <c r="C185" s="134"/>
      <c r="D185" s="134"/>
      <c r="E185" s="134"/>
      <c r="F185" s="134"/>
      <c r="G185" s="134"/>
      <c r="H185" s="134"/>
      <c r="I185" s="134"/>
    </row>
    <row r="186" ht="15.75" customHeight="1">
      <c r="A186" s="133"/>
      <c r="C186" s="134"/>
      <c r="D186" s="134"/>
      <c r="E186" s="134"/>
      <c r="F186" s="134"/>
      <c r="G186" s="134"/>
      <c r="H186" s="134"/>
      <c r="I186" s="134"/>
    </row>
    <row r="187" ht="15.75" customHeight="1">
      <c r="A187" s="133"/>
      <c r="C187" s="134"/>
      <c r="D187" s="134"/>
      <c r="E187" s="134"/>
      <c r="F187" s="134"/>
      <c r="G187" s="134"/>
      <c r="H187" s="134"/>
      <c r="I187" s="134"/>
    </row>
    <row r="188" ht="15.75" customHeight="1">
      <c r="A188" s="133"/>
      <c r="C188" s="134"/>
      <c r="D188" s="134"/>
      <c r="E188" s="134"/>
      <c r="F188" s="134"/>
      <c r="G188" s="134"/>
      <c r="H188" s="134"/>
      <c r="I188" s="134"/>
    </row>
    <row r="189" ht="15.75" customHeight="1">
      <c r="A189" s="133"/>
      <c r="C189" s="134"/>
      <c r="D189" s="134"/>
      <c r="E189" s="134"/>
      <c r="F189" s="134"/>
      <c r="G189" s="134"/>
      <c r="H189" s="134"/>
      <c r="I189" s="134"/>
    </row>
    <row r="190" ht="15.75" customHeight="1">
      <c r="A190" s="133"/>
      <c r="C190" s="134"/>
      <c r="D190" s="134"/>
      <c r="E190" s="134"/>
      <c r="F190" s="134"/>
      <c r="G190" s="134"/>
      <c r="H190" s="134"/>
      <c r="I190" s="134"/>
    </row>
    <row r="191" ht="15.75" customHeight="1">
      <c r="A191" s="133"/>
      <c r="C191" s="134"/>
      <c r="D191" s="134"/>
      <c r="E191" s="134"/>
      <c r="F191" s="134"/>
      <c r="G191" s="134"/>
      <c r="H191" s="134"/>
      <c r="I191" s="134"/>
    </row>
    <row r="192" ht="15.75" customHeight="1">
      <c r="A192" s="133"/>
      <c r="C192" s="134"/>
      <c r="D192" s="134"/>
      <c r="E192" s="134"/>
      <c r="F192" s="134"/>
      <c r="G192" s="134"/>
      <c r="H192" s="134"/>
      <c r="I192" s="134"/>
    </row>
    <row r="193" ht="15.75" customHeight="1">
      <c r="A193" s="133"/>
      <c r="C193" s="134"/>
      <c r="D193" s="134"/>
      <c r="E193" s="134"/>
      <c r="F193" s="134"/>
      <c r="G193" s="134"/>
      <c r="H193" s="134"/>
      <c r="I193" s="134"/>
    </row>
    <row r="194" ht="15.75" customHeight="1">
      <c r="A194" s="133"/>
      <c r="C194" s="134"/>
      <c r="D194" s="134"/>
      <c r="E194" s="134"/>
      <c r="F194" s="134"/>
      <c r="G194" s="134"/>
      <c r="H194" s="134"/>
      <c r="I194" s="134"/>
    </row>
    <row r="195" ht="15.75" customHeight="1">
      <c r="A195" s="133"/>
      <c r="C195" s="134"/>
      <c r="D195" s="134"/>
      <c r="E195" s="134"/>
      <c r="F195" s="134"/>
      <c r="G195" s="134"/>
      <c r="H195" s="134"/>
      <c r="I195" s="134"/>
    </row>
    <row r="196" ht="15.75" customHeight="1">
      <c r="A196" s="133"/>
      <c r="C196" s="134"/>
      <c r="D196" s="134"/>
      <c r="E196" s="134"/>
      <c r="F196" s="134"/>
      <c r="G196" s="134"/>
      <c r="H196" s="134"/>
      <c r="I196" s="134"/>
    </row>
    <row r="197" ht="15.75" customHeight="1">
      <c r="A197" s="133"/>
      <c r="C197" s="134"/>
      <c r="D197" s="134"/>
      <c r="E197" s="134"/>
      <c r="F197" s="134"/>
      <c r="G197" s="134"/>
      <c r="H197" s="134"/>
      <c r="I197" s="134"/>
    </row>
    <row r="198" ht="15.75" customHeight="1">
      <c r="A198" s="133"/>
      <c r="C198" s="134"/>
      <c r="D198" s="134"/>
      <c r="E198" s="134"/>
      <c r="F198" s="134"/>
      <c r="G198" s="134"/>
      <c r="H198" s="134"/>
      <c r="I198" s="134"/>
    </row>
    <row r="199" ht="15.75" customHeight="1">
      <c r="A199" s="133"/>
      <c r="C199" s="134"/>
      <c r="D199" s="134"/>
      <c r="E199" s="134"/>
      <c r="F199" s="134"/>
      <c r="G199" s="134"/>
      <c r="H199" s="134"/>
      <c r="I199" s="134"/>
    </row>
    <row r="200" ht="15.75" customHeight="1">
      <c r="A200" s="133"/>
      <c r="C200" s="134"/>
      <c r="D200" s="134"/>
      <c r="E200" s="134"/>
      <c r="F200" s="134"/>
      <c r="G200" s="134"/>
      <c r="H200" s="134"/>
      <c r="I200" s="134"/>
    </row>
    <row r="201" ht="15.75" customHeight="1">
      <c r="A201" s="133"/>
      <c r="C201" s="134"/>
      <c r="D201" s="134"/>
      <c r="E201" s="134"/>
      <c r="F201" s="134"/>
      <c r="G201" s="134"/>
      <c r="H201" s="134"/>
      <c r="I201" s="134"/>
    </row>
    <row r="202" ht="15.75" customHeight="1">
      <c r="A202" s="133"/>
      <c r="C202" s="134"/>
      <c r="D202" s="134"/>
      <c r="E202" s="134"/>
      <c r="F202" s="134"/>
      <c r="G202" s="134"/>
      <c r="H202" s="134"/>
      <c r="I202" s="134"/>
    </row>
    <row r="203" ht="15.75" customHeight="1">
      <c r="A203" s="133"/>
      <c r="C203" s="134"/>
      <c r="D203" s="134"/>
      <c r="E203" s="134"/>
      <c r="F203" s="134"/>
      <c r="G203" s="134"/>
      <c r="H203" s="134"/>
      <c r="I203" s="134"/>
    </row>
    <row r="204" ht="15.75" customHeight="1">
      <c r="A204" s="133"/>
      <c r="C204" s="134"/>
      <c r="D204" s="134"/>
      <c r="E204" s="134"/>
      <c r="F204" s="134"/>
      <c r="G204" s="134"/>
      <c r="H204" s="134"/>
      <c r="I204" s="134"/>
    </row>
    <row r="205" ht="15.75" customHeight="1">
      <c r="A205" s="133"/>
      <c r="C205" s="134"/>
      <c r="D205" s="134"/>
      <c r="E205" s="134"/>
      <c r="F205" s="134"/>
      <c r="G205" s="134"/>
      <c r="H205" s="134"/>
      <c r="I205" s="134"/>
    </row>
    <row r="206" ht="15.75" customHeight="1">
      <c r="A206" s="133"/>
      <c r="C206" s="134"/>
      <c r="D206" s="134"/>
      <c r="E206" s="134"/>
      <c r="F206" s="134"/>
      <c r="G206" s="134"/>
      <c r="H206" s="134"/>
      <c r="I206" s="134"/>
    </row>
    <row r="207" ht="15.75" customHeight="1">
      <c r="A207" s="133"/>
      <c r="C207" s="134"/>
      <c r="D207" s="134"/>
      <c r="E207" s="134"/>
      <c r="F207" s="134"/>
      <c r="G207" s="134"/>
      <c r="H207" s="134"/>
      <c r="I207" s="134"/>
    </row>
    <row r="208" ht="15.75" customHeight="1">
      <c r="A208" s="133"/>
      <c r="C208" s="134"/>
      <c r="D208" s="134"/>
      <c r="E208" s="134"/>
      <c r="F208" s="134"/>
      <c r="G208" s="134"/>
      <c r="H208" s="134"/>
      <c r="I208" s="134"/>
    </row>
    <row r="209" ht="15.75" customHeight="1">
      <c r="A209" s="133"/>
      <c r="C209" s="134"/>
      <c r="D209" s="134"/>
      <c r="E209" s="134"/>
      <c r="F209" s="134"/>
      <c r="G209" s="134"/>
      <c r="H209" s="134"/>
      <c r="I209" s="134"/>
    </row>
    <row r="210" ht="15.75" customHeight="1">
      <c r="A210" s="133"/>
      <c r="C210" s="134"/>
      <c r="D210" s="134"/>
      <c r="E210" s="134"/>
      <c r="F210" s="134"/>
      <c r="G210" s="134"/>
      <c r="H210" s="134"/>
      <c r="I210" s="134"/>
    </row>
    <row r="211" ht="15.75" customHeight="1">
      <c r="A211" s="133"/>
      <c r="C211" s="134"/>
      <c r="D211" s="134"/>
      <c r="E211" s="134"/>
      <c r="F211" s="134"/>
      <c r="G211" s="134"/>
      <c r="H211" s="134"/>
      <c r="I211" s="134"/>
    </row>
    <row r="212" ht="15.75" customHeight="1">
      <c r="A212" s="133"/>
      <c r="C212" s="134"/>
      <c r="D212" s="134"/>
      <c r="E212" s="134"/>
      <c r="F212" s="134"/>
      <c r="G212" s="134"/>
      <c r="H212" s="134"/>
      <c r="I212" s="134"/>
    </row>
    <row r="213" ht="15.75" customHeight="1">
      <c r="A213" s="133"/>
      <c r="C213" s="134"/>
      <c r="D213" s="134"/>
      <c r="E213" s="134"/>
      <c r="F213" s="134"/>
      <c r="G213" s="134"/>
      <c r="H213" s="134"/>
      <c r="I213" s="134"/>
    </row>
    <row r="214" ht="15.75" customHeight="1">
      <c r="A214" s="133"/>
      <c r="C214" s="134"/>
      <c r="D214" s="134"/>
      <c r="E214" s="134"/>
      <c r="F214" s="134"/>
      <c r="G214" s="134"/>
      <c r="H214" s="134"/>
      <c r="I214" s="134"/>
    </row>
    <row r="215" ht="15.75" customHeight="1">
      <c r="A215" s="133"/>
      <c r="C215" s="134"/>
      <c r="D215" s="134"/>
      <c r="E215" s="134"/>
      <c r="F215" s="134"/>
      <c r="G215" s="134"/>
      <c r="H215" s="134"/>
      <c r="I215" s="134"/>
    </row>
    <row r="216" ht="15.75" customHeight="1">
      <c r="A216" s="133"/>
      <c r="C216" s="134"/>
      <c r="D216" s="134"/>
      <c r="E216" s="134"/>
      <c r="F216" s="134"/>
      <c r="G216" s="134"/>
      <c r="H216" s="134"/>
      <c r="I216" s="134"/>
    </row>
    <row r="217" ht="15.75" customHeight="1">
      <c r="A217" s="133"/>
      <c r="C217" s="134"/>
      <c r="D217" s="134"/>
      <c r="E217" s="134"/>
      <c r="F217" s="134"/>
      <c r="G217" s="134"/>
      <c r="H217" s="134"/>
      <c r="I217" s="134"/>
    </row>
    <row r="218" ht="15.75" customHeight="1">
      <c r="A218" s="133"/>
      <c r="C218" s="134"/>
      <c r="D218" s="134"/>
      <c r="E218" s="134"/>
      <c r="F218" s="134"/>
      <c r="G218" s="134"/>
      <c r="H218" s="134"/>
      <c r="I218" s="134"/>
    </row>
    <row r="219" ht="15.75" customHeight="1">
      <c r="A219" s="133"/>
      <c r="C219" s="134"/>
      <c r="D219" s="134"/>
      <c r="E219" s="134"/>
      <c r="F219" s="134"/>
      <c r="G219" s="134"/>
      <c r="H219" s="134"/>
      <c r="I219" s="134"/>
    </row>
    <row r="220" ht="15.75" customHeight="1">
      <c r="A220" s="133"/>
      <c r="C220" s="134"/>
      <c r="D220" s="134"/>
      <c r="E220" s="134"/>
      <c r="F220" s="134"/>
      <c r="G220" s="134"/>
      <c r="H220" s="134"/>
      <c r="I220" s="134"/>
    </row>
    <row r="221" ht="15.75" customHeight="1">
      <c r="A221" s="133"/>
      <c r="C221" s="134"/>
      <c r="D221" s="134"/>
      <c r="E221" s="134"/>
      <c r="F221" s="134"/>
      <c r="G221" s="134"/>
      <c r="H221" s="134"/>
      <c r="I221" s="134"/>
    </row>
    <row r="222" ht="15.75" customHeight="1">
      <c r="A222" s="133"/>
      <c r="C222" s="134"/>
      <c r="D222" s="134"/>
      <c r="E222" s="134"/>
      <c r="F222" s="134"/>
      <c r="G222" s="134"/>
      <c r="H222" s="134"/>
      <c r="I222" s="134"/>
    </row>
    <row r="223" ht="15.75" customHeight="1">
      <c r="A223" s="133"/>
      <c r="C223" s="134"/>
      <c r="D223" s="134"/>
      <c r="E223" s="134"/>
      <c r="F223" s="134"/>
      <c r="G223" s="134"/>
      <c r="H223" s="134"/>
      <c r="I223" s="134"/>
    </row>
    <row r="224" ht="15.75" customHeight="1">
      <c r="A224" s="133"/>
      <c r="C224" s="134"/>
      <c r="D224" s="134"/>
      <c r="E224" s="134"/>
      <c r="F224" s="134"/>
      <c r="G224" s="134"/>
      <c r="H224" s="134"/>
      <c r="I224" s="134"/>
    </row>
    <row r="225" ht="15.75" customHeight="1">
      <c r="A225" s="133"/>
      <c r="C225" s="134"/>
      <c r="D225" s="134"/>
      <c r="E225" s="134"/>
      <c r="F225" s="134"/>
      <c r="G225" s="134"/>
      <c r="H225" s="134"/>
      <c r="I225" s="134"/>
    </row>
    <row r="226" ht="15.75" customHeight="1">
      <c r="A226" s="133"/>
      <c r="C226" s="134"/>
      <c r="D226" s="134"/>
      <c r="E226" s="134"/>
      <c r="F226" s="134"/>
      <c r="G226" s="134"/>
      <c r="H226" s="134"/>
      <c r="I226" s="134"/>
    </row>
    <row r="227" ht="15.75" customHeight="1">
      <c r="A227" s="133"/>
      <c r="C227" s="134"/>
      <c r="D227" s="134"/>
      <c r="E227" s="134"/>
      <c r="F227" s="134"/>
      <c r="G227" s="134"/>
      <c r="H227" s="134"/>
      <c r="I227" s="134"/>
    </row>
    <row r="228" ht="15.75" customHeight="1">
      <c r="A228" s="133"/>
      <c r="C228" s="134"/>
      <c r="D228" s="134"/>
      <c r="E228" s="134"/>
      <c r="F228" s="134"/>
      <c r="G228" s="134"/>
      <c r="H228" s="134"/>
      <c r="I228" s="134"/>
    </row>
    <row r="229" ht="15.75" customHeight="1">
      <c r="A229" s="133"/>
      <c r="C229" s="134"/>
      <c r="D229" s="134"/>
      <c r="E229" s="134"/>
      <c r="F229" s="134"/>
      <c r="G229" s="134"/>
      <c r="H229" s="134"/>
      <c r="I229" s="134"/>
    </row>
    <row r="230" ht="15.75" customHeight="1">
      <c r="A230" s="133"/>
      <c r="C230" s="134"/>
      <c r="D230" s="134"/>
      <c r="E230" s="134"/>
      <c r="F230" s="134"/>
      <c r="G230" s="134"/>
      <c r="H230" s="134"/>
      <c r="I230" s="134"/>
    </row>
    <row r="231" ht="15.75" customHeight="1">
      <c r="A231" s="133"/>
      <c r="C231" s="134"/>
      <c r="D231" s="134"/>
      <c r="E231" s="134"/>
      <c r="F231" s="134"/>
      <c r="G231" s="134"/>
      <c r="H231" s="134"/>
      <c r="I231" s="134"/>
    </row>
    <row r="232" ht="15.75" customHeight="1">
      <c r="A232" s="133"/>
      <c r="C232" s="134"/>
      <c r="D232" s="134"/>
      <c r="E232" s="134"/>
      <c r="F232" s="134"/>
      <c r="G232" s="134"/>
      <c r="H232" s="134"/>
      <c r="I232" s="134"/>
    </row>
    <row r="233" ht="15.75" customHeight="1">
      <c r="A233" s="133"/>
      <c r="C233" s="134"/>
      <c r="D233" s="134"/>
      <c r="E233" s="134"/>
      <c r="F233" s="134"/>
      <c r="G233" s="134"/>
      <c r="H233" s="134"/>
      <c r="I233" s="134"/>
    </row>
    <row r="234" ht="15.75" customHeight="1">
      <c r="A234" s="133"/>
      <c r="C234" s="134"/>
      <c r="D234" s="134"/>
      <c r="E234" s="134"/>
      <c r="F234" s="134"/>
      <c r="G234" s="134"/>
      <c r="H234" s="134"/>
      <c r="I234" s="134"/>
    </row>
    <row r="235" ht="15.75" customHeight="1">
      <c r="A235" s="133"/>
      <c r="C235" s="134"/>
      <c r="D235" s="134"/>
      <c r="E235" s="134"/>
      <c r="F235" s="134"/>
      <c r="G235" s="134"/>
      <c r="H235" s="134"/>
      <c r="I235" s="134"/>
    </row>
    <row r="236" ht="15.75" customHeight="1">
      <c r="A236" s="133"/>
      <c r="C236" s="134"/>
      <c r="D236" s="134"/>
      <c r="E236" s="134"/>
      <c r="F236" s="134"/>
      <c r="G236" s="134"/>
      <c r="H236" s="134"/>
      <c r="I236" s="134"/>
    </row>
    <row r="237" ht="15.75" customHeight="1">
      <c r="A237" s="133"/>
      <c r="C237" s="134"/>
      <c r="D237" s="134"/>
      <c r="E237" s="134"/>
      <c r="F237" s="134"/>
      <c r="G237" s="134"/>
      <c r="H237" s="134"/>
      <c r="I237" s="134"/>
    </row>
    <row r="238" ht="15.75" customHeight="1">
      <c r="A238" s="133"/>
      <c r="C238" s="134"/>
      <c r="D238" s="134"/>
      <c r="E238" s="134"/>
      <c r="F238" s="134"/>
      <c r="G238" s="134"/>
      <c r="H238" s="134"/>
      <c r="I238" s="134"/>
    </row>
    <row r="239" ht="15.75" customHeight="1">
      <c r="A239" s="133"/>
      <c r="C239" s="134"/>
      <c r="D239" s="134"/>
      <c r="E239" s="134"/>
      <c r="F239" s="134"/>
      <c r="G239" s="134"/>
      <c r="H239" s="134"/>
      <c r="I239" s="134"/>
    </row>
    <row r="240" ht="15.75" customHeight="1">
      <c r="A240" s="133"/>
      <c r="C240" s="134"/>
      <c r="D240" s="134"/>
      <c r="E240" s="134"/>
      <c r="F240" s="134"/>
      <c r="G240" s="134"/>
      <c r="H240" s="134"/>
      <c r="I240" s="134"/>
    </row>
    <row r="241" ht="15.75" customHeight="1">
      <c r="A241" s="133"/>
      <c r="C241" s="134"/>
      <c r="D241" s="134"/>
      <c r="E241" s="134"/>
      <c r="F241" s="134"/>
      <c r="G241" s="134"/>
      <c r="H241" s="134"/>
      <c r="I241" s="134"/>
    </row>
    <row r="242" ht="15.75" customHeight="1">
      <c r="A242" s="133"/>
      <c r="C242" s="134"/>
      <c r="D242" s="134"/>
      <c r="E242" s="134"/>
      <c r="F242" s="134"/>
      <c r="G242" s="134"/>
      <c r="H242" s="134"/>
      <c r="I242" s="134"/>
    </row>
    <row r="243" ht="15.75" customHeight="1">
      <c r="A243" s="133"/>
      <c r="C243" s="134"/>
      <c r="D243" s="134"/>
      <c r="E243" s="134"/>
      <c r="F243" s="134"/>
      <c r="G243" s="134"/>
      <c r="H243" s="134"/>
      <c r="I243" s="134"/>
    </row>
    <row r="244" ht="15.75" customHeight="1">
      <c r="A244" s="133"/>
      <c r="C244" s="134"/>
      <c r="D244" s="134"/>
      <c r="E244" s="134"/>
      <c r="F244" s="134"/>
      <c r="G244" s="134"/>
      <c r="H244" s="134"/>
      <c r="I244" s="134"/>
    </row>
    <row r="245" ht="15.75" customHeight="1">
      <c r="A245" s="133"/>
      <c r="C245" s="134"/>
      <c r="D245" s="134"/>
      <c r="E245" s="134"/>
      <c r="F245" s="134"/>
      <c r="G245" s="134"/>
      <c r="H245" s="134"/>
      <c r="I245" s="134"/>
    </row>
    <row r="246" ht="15.75" customHeight="1">
      <c r="A246" s="133"/>
      <c r="C246" s="134"/>
      <c r="D246" s="134"/>
      <c r="E246" s="134"/>
      <c r="F246" s="134"/>
      <c r="G246" s="134"/>
      <c r="H246" s="134"/>
      <c r="I246" s="134"/>
    </row>
    <row r="247" ht="15.75" customHeight="1">
      <c r="A247" s="133"/>
      <c r="C247" s="134"/>
      <c r="D247" s="134"/>
      <c r="E247" s="134"/>
      <c r="F247" s="134"/>
      <c r="G247" s="134"/>
      <c r="H247" s="134"/>
      <c r="I247" s="134"/>
    </row>
    <row r="248" ht="15.75" customHeight="1">
      <c r="A248" s="133"/>
      <c r="C248" s="134"/>
      <c r="D248" s="134"/>
      <c r="E248" s="134"/>
      <c r="F248" s="134"/>
      <c r="G248" s="134"/>
      <c r="H248" s="134"/>
      <c r="I248" s="134"/>
    </row>
    <row r="249" ht="15.75" customHeight="1">
      <c r="A249" s="133"/>
      <c r="C249" s="134"/>
      <c r="D249" s="134"/>
      <c r="E249" s="134"/>
      <c r="F249" s="134"/>
      <c r="G249" s="134"/>
      <c r="H249" s="134"/>
      <c r="I249" s="134"/>
    </row>
    <row r="250" ht="15.75" customHeight="1">
      <c r="A250" s="133"/>
      <c r="C250" s="134"/>
      <c r="D250" s="134"/>
      <c r="E250" s="134"/>
      <c r="F250" s="134"/>
      <c r="G250" s="134"/>
      <c r="H250" s="134"/>
      <c r="I250" s="134"/>
    </row>
    <row r="251" ht="15.75" customHeight="1">
      <c r="A251" s="133"/>
      <c r="C251" s="134"/>
      <c r="D251" s="134"/>
      <c r="E251" s="134"/>
      <c r="F251" s="134"/>
      <c r="G251" s="134"/>
      <c r="H251" s="134"/>
      <c r="I251" s="134"/>
    </row>
    <row r="252" ht="15.75" customHeight="1">
      <c r="A252" s="133"/>
      <c r="C252" s="134"/>
      <c r="D252" s="134"/>
      <c r="E252" s="134"/>
      <c r="F252" s="134"/>
      <c r="G252" s="134"/>
      <c r="H252" s="134"/>
      <c r="I252" s="134"/>
    </row>
    <row r="253" ht="15.75" customHeight="1">
      <c r="A253" s="133"/>
      <c r="C253" s="134"/>
      <c r="D253" s="134"/>
      <c r="E253" s="134"/>
      <c r="F253" s="134"/>
      <c r="G253" s="134"/>
      <c r="H253" s="134"/>
      <c r="I253" s="134"/>
    </row>
    <row r="254" ht="15.75" customHeight="1">
      <c r="A254" s="133"/>
      <c r="C254" s="134"/>
      <c r="D254" s="134"/>
      <c r="E254" s="134"/>
      <c r="F254" s="134"/>
      <c r="G254" s="134"/>
      <c r="H254" s="134"/>
      <c r="I254" s="134"/>
    </row>
    <row r="255" ht="15.75" customHeight="1">
      <c r="A255" s="133"/>
      <c r="C255" s="134"/>
      <c r="D255" s="134"/>
      <c r="E255" s="134"/>
      <c r="F255" s="134"/>
      <c r="G255" s="134"/>
      <c r="H255" s="134"/>
      <c r="I255" s="134"/>
    </row>
    <row r="256" ht="15.75" customHeight="1">
      <c r="A256" s="133"/>
      <c r="C256" s="134"/>
      <c r="D256" s="134"/>
      <c r="E256" s="134"/>
      <c r="F256" s="134"/>
      <c r="G256" s="134"/>
      <c r="H256" s="134"/>
      <c r="I256" s="134"/>
    </row>
    <row r="257" ht="15.75" customHeight="1">
      <c r="A257" s="133"/>
      <c r="C257" s="134"/>
      <c r="D257" s="134"/>
      <c r="E257" s="134"/>
      <c r="F257" s="134"/>
      <c r="G257" s="134"/>
      <c r="H257" s="134"/>
      <c r="I257" s="134"/>
    </row>
    <row r="258" ht="15.75" customHeight="1">
      <c r="A258" s="133"/>
      <c r="C258" s="134"/>
      <c r="D258" s="134"/>
      <c r="E258" s="134"/>
      <c r="F258" s="134"/>
      <c r="G258" s="134"/>
      <c r="H258" s="134"/>
      <c r="I258" s="134"/>
    </row>
    <row r="259" ht="15.75" customHeight="1">
      <c r="A259" s="133"/>
      <c r="C259" s="134"/>
      <c r="D259" s="134"/>
      <c r="E259" s="134"/>
      <c r="F259" s="134"/>
      <c r="G259" s="134"/>
      <c r="H259" s="134"/>
      <c r="I259" s="134"/>
    </row>
    <row r="260" ht="15.75" customHeight="1">
      <c r="A260" s="133"/>
      <c r="C260" s="134"/>
      <c r="D260" s="134"/>
      <c r="E260" s="134"/>
      <c r="F260" s="134"/>
      <c r="G260" s="134"/>
      <c r="H260" s="134"/>
      <c r="I260" s="134"/>
    </row>
    <row r="261" ht="15.75" customHeight="1">
      <c r="A261" s="133"/>
      <c r="C261" s="134"/>
      <c r="D261" s="134"/>
      <c r="E261" s="134"/>
      <c r="F261" s="134"/>
      <c r="G261" s="134"/>
      <c r="H261" s="134"/>
      <c r="I261" s="134"/>
    </row>
    <row r="262" ht="15.75" customHeight="1">
      <c r="A262" s="133"/>
      <c r="C262" s="134"/>
      <c r="D262" s="134"/>
      <c r="E262" s="134"/>
      <c r="F262" s="134"/>
      <c r="G262" s="134"/>
      <c r="H262" s="134"/>
      <c r="I262" s="134"/>
    </row>
    <row r="263" ht="15.75" customHeight="1">
      <c r="A263" s="133"/>
      <c r="C263" s="134"/>
      <c r="D263" s="134"/>
      <c r="E263" s="134"/>
      <c r="F263" s="134"/>
      <c r="G263" s="134"/>
      <c r="H263" s="134"/>
      <c r="I263" s="134"/>
    </row>
    <row r="264" ht="15.75" customHeight="1">
      <c r="A264" s="133"/>
      <c r="C264" s="134"/>
      <c r="D264" s="134"/>
      <c r="E264" s="134"/>
      <c r="F264" s="134"/>
      <c r="G264" s="134"/>
      <c r="H264" s="134"/>
      <c r="I264" s="134"/>
    </row>
    <row r="265" ht="15.75" customHeight="1">
      <c r="A265" s="133"/>
      <c r="C265" s="134"/>
      <c r="D265" s="134"/>
      <c r="E265" s="134"/>
      <c r="F265" s="134"/>
      <c r="G265" s="134"/>
      <c r="H265" s="134"/>
      <c r="I265" s="134"/>
    </row>
    <row r="266" ht="15.75" customHeight="1">
      <c r="A266" s="133"/>
      <c r="C266" s="134"/>
      <c r="D266" s="134"/>
      <c r="E266" s="134"/>
      <c r="F266" s="134"/>
      <c r="G266" s="134"/>
      <c r="H266" s="134"/>
      <c r="I266" s="134"/>
    </row>
    <row r="267" ht="15.75" customHeight="1">
      <c r="A267" s="133"/>
      <c r="C267" s="134"/>
      <c r="D267" s="134"/>
      <c r="E267" s="134"/>
      <c r="F267" s="134"/>
      <c r="G267" s="134"/>
      <c r="H267" s="134"/>
      <c r="I267" s="134"/>
    </row>
    <row r="268" ht="15.75" customHeight="1">
      <c r="A268" s="133"/>
      <c r="C268" s="134"/>
      <c r="D268" s="134"/>
      <c r="E268" s="134"/>
      <c r="F268" s="134"/>
      <c r="G268" s="134"/>
      <c r="H268" s="134"/>
      <c r="I268" s="134"/>
    </row>
    <row r="269" ht="15.75" customHeight="1">
      <c r="A269" s="133"/>
      <c r="C269" s="134"/>
      <c r="D269" s="134"/>
      <c r="E269" s="134"/>
      <c r="F269" s="134"/>
      <c r="G269" s="134"/>
      <c r="H269" s="134"/>
      <c r="I269" s="134"/>
    </row>
    <row r="270" ht="15.75" customHeight="1">
      <c r="A270" s="133"/>
      <c r="C270" s="134"/>
      <c r="D270" s="134"/>
      <c r="E270" s="134"/>
      <c r="F270" s="134"/>
      <c r="G270" s="134"/>
      <c r="H270" s="134"/>
      <c r="I270" s="134"/>
    </row>
    <row r="271" ht="15.75" customHeight="1">
      <c r="A271" s="133"/>
      <c r="C271" s="134"/>
      <c r="D271" s="134"/>
      <c r="E271" s="134"/>
      <c r="F271" s="134"/>
      <c r="G271" s="134"/>
      <c r="H271" s="134"/>
      <c r="I271" s="134"/>
    </row>
    <row r="272" ht="15.75" customHeight="1">
      <c r="A272" s="133"/>
      <c r="C272" s="134"/>
      <c r="D272" s="134"/>
      <c r="E272" s="134"/>
      <c r="F272" s="134"/>
      <c r="G272" s="134"/>
      <c r="H272" s="134"/>
      <c r="I272" s="134"/>
    </row>
    <row r="273" ht="15.75" customHeight="1">
      <c r="A273" s="133"/>
      <c r="C273" s="134"/>
      <c r="D273" s="134"/>
      <c r="E273" s="134"/>
      <c r="F273" s="134"/>
      <c r="G273" s="134"/>
      <c r="H273" s="134"/>
      <c r="I273" s="134"/>
    </row>
    <row r="274" ht="15.75" customHeight="1">
      <c r="A274" s="133"/>
      <c r="C274" s="134"/>
      <c r="D274" s="134"/>
      <c r="E274" s="134"/>
      <c r="F274" s="134"/>
      <c r="G274" s="134"/>
      <c r="H274" s="134"/>
      <c r="I274" s="134"/>
    </row>
    <row r="275" ht="15.75" customHeight="1">
      <c r="A275" s="133"/>
      <c r="C275" s="134"/>
      <c r="D275" s="134"/>
      <c r="E275" s="134"/>
      <c r="F275" s="134"/>
      <c r="G275" s="134"/>
      <c r="H275" s="134"/>
      <c r="I275" s="134"/>
    </row>
    <row r="276" ht="15.75" customHeight="1">
      <c r="A276" s="133"/>
      <c r="C276" s="134"/>
      <c r="D276" s="134"/>
      <c r="E276" s="134"/>
      <c r="F276" s="134"/>
      <c r="G276" s="134"/>
      <c r="H276" s="134"/>
      <c r="I276" s="134"/>
    </row>
    <row r="277" ht="15.75" customHeight="1">
      <c r="A277" s="133"/>
      <c r="C277" s="134"/>
      <c r="D277" s="134"/>
      <c r="E277" s="134"/>
      <c r="F277" s="134"/>
      <c r="G277" s="134"/>
      <c r="H277" s="134"/>
      <c r="I277" s="134"/>
    </row>
    <row r="278" ht="15.75" customHeight="1">
      <c r="A278" s="133"/>
      <c r="C278" s="134"/>
      <c r="D278" s="134"/>
      <c r="E278" s="134"/>
      <c r="F278" s="134"/>
      <c r="G278" s="134"/>
      <c r="H278" s="134"/>
      <c r="I278" s="134"/>
    </row>
    <row r="279" ht="15.75" customHeight="1">
      <c r="A279" s="133"/>
      <c r="C279" s="134"/>
      <c r="D279" s="134"/>
      <c r="E279" s="134"/>
      <c r="F279" s="134"/>
      <c r="G279" s="134"/>
      <c r="H279" s="134"/>
      <c r="I279" s="134"/>
    </row>
    <row r="280" ht="15.75" customHeight="1">
      <c r="A280" s="133"/>
      <c r="C280" s="134"/>
      <c r="D280" s="134"/>
      <c r="E280" s="134"/>
      <c r="F280" s="134"/>
      <c r="G280" s="134"/>
      <c r="H280" s="134"/>
      <c r="I280" s="134"/>
    </row>
    <row r="281" ht="15.75" customHeight="1">
      <c r="A281" s="133"/>
      <c r="C281" s="134"/>
      <c r="D281" s="134"/>
      <c r="E281" s="134"/>
      <c r="F281" s="134"/>
      <c r="G281" s="134"/>
      <c r="H281" s="134"/>
      <c r="I281" s="134"/>
    </row>
    <row r="282" ht="15.75" customHeight="1">
      <c r="A282" s="133"/>
      <c r="C282" s="134"/>
      <c r="D282" s="134"/>
      <c r="E282" s="134"/>
      <c r="F282" s="134"/>
      <c r="G282" s="134"/>
      <c r="H282" s="134"/>
      <c r="I282" s="134"/>
    </row>
    <row r="283" ht="15.75" customHeight="1">
      <c r="A283" s="133"/>
      <c r="C283" s="134"/>
      <c r="D283" s="134"/>
      <c r="E283" s="134"/>
      <c r="F283" s="134"/>
      <c r="G283" s="134"/>
      <c r="H283" s="134"/>
      <c r="I283" s="134"/>
    </row>
    <row r="284" ht="15.75" customHeight="1">
      <c r="A284" s="133"/>
      <c r="C284" s="134"/>
      <c r="D284" s="134"/>
      <c r="E284" s="134"/>
      <c r="F284" s="134"/>
      <c r="G284" s="134"/>
      <c r="H284" s="134"/>
      <c r="I284" s="134"/>
    </row>
    <row r="285" ht="15.75" customHeight="1">
      <c r="A285" s="133"/>
      <c r="C285" s="134"/>
      <c r="D285" s="134"/>
      <c r="E285" s="134"/>
      <c r="F285" s="134"/>
      <c r="G285" s="134"/>
      <c r="H285" s="134"/>
      <c r="I285" s="134"/>
    </row>
    <row r="286" ht="15.75" customHeight="1">
      <c r="A286" s="133"/>
      <c r="C286" s="134"/>
      <c r="D286" s="134"/>
      <c r="E286" s="134"/>
      <c r="F286" s="134"/>
      <c r="G286" s="134"/>
      <c r="H286" s="134"/>
      <c r="I286" s="134"/>
    </row>
    <row r="287" ht="15.75" customHeight="1">
      <c r="A287" s="133"/>
      <c r="C287" s="134"/>
      <c r="D287" s="134"/>
      <c r="E287" s="134"/>
      <c r="F287" s="134"/>
      <c r="G287" s="134"/>
      <c r="H287" s="134"/>
      <c r="I287" s="134"/>
    </row>
    <row r="288" ht="15.75" customHeight="1">
      <c r="A288" s="133"/>
      <c r="C288" s="134"/>
      <c r="D288" s="134"/>
      <c r="E288" s="134"/>
      <c r="F288" s="134"/>
      <c r="G288" s="134"/>
      <c r="H288" s="134"/>
      <c r="I288" s="134"/>
    </row>
    <row r="289" ht="15.75" customHeight="1">
      <c r="A289" s="133"/>
      <c r="C289" s="134"/>
      <c r="D289" s="134"/>
      <c r="E289" s="134"/>
      <c r="F289" s="134"/>
      <c r="G289" s="134"/>
      <c r="H289" s="134"/>
      <c r="I289" s="134"/>
    </row>
    <row r="290" ht="15.75" customHeight="1">
      <c r="A290" s="133"/>
      <c r="C290" s="134"/>
      <c r="D290" s="134"/>
      <c r="E290" s="134"/>
      <c r="F290" s="134"/>
      <c r="G290" s="134"/>
      <c r="H290" s="134"/>
      <c r="I290" s="134"/>
    </row>
    <row r="291" ht="15.75" customHeight="1">
      <c r="A291" s="133"/>
      <c r="C291" s="134"/>
      <c r="D291" s="134"/>
      <c r="E291" s="134"/>
      <c r="F291" s="134"/>
      <c r="G291" s="134"/>
      <c r="H291" s="134"/>
      <c r="I291" s="134"/>
    </row>
    <row r="292" ht="15.75" customHeight="1">
      <c r="A292" s="133"/>
      <c r="C292" s="134"/>
      <c r="D292" s="134"/>
      <c r="E292" s="134"/>
      <c r="F292" s="134"/>
      <c r="G292" s="134"/>
      <c r="H292" s="134"/>
      <c r="I292" s="134"/>
    </row>
    <row r="293" ht="15.75" customHeight="1">
      <c r="A293" s="133"/>
      <c r="C293" s="134"/>
      <c r="D293" s="134"/>
      <c r="E293" s="134"/>
      <c r="F293" s="134"/>
      <c r="G293" s="134"/>
      <c r="H293" s="134"/>
      <c r="I293" s="134"/>
    </row>
    <row r="294" ht="15.75" customHeight="1">
      <c r="A294" s="133"/>
      <c r="C294" s="134"/>
      <c r="D294" s="134"/>
      <c r="E294" s="134"/>
      <c r="F294" s="134"/>
      <c r="G294" s="134"/>
      <c r="H294" s="134"/>
      <c r="I294" s="134"/>
    </row>
    <row r="295" ht="15.75" customHeight="1">
      <c r="A295" s="133"/>
      <c r="C295" s="134"/>
      <c r="D295" s="134"/>
      <c r="E295" s="134"/>
      <c r="F295" s="134"/>
      <c r="G295" s="134"/>
      <c r="H295" s="134"/>
      <c r="I295" s="134"/>
    </row>
    <row r="296" ht="15.75" customHeight="1">
      <c r="A296" s="133"/>
      <c r="C296" s="134"/>
      <c r="D296" s="134"/>
      <c r="E296" s="134"/>
      <c r="F296" s="134"/>
      <c r="G296" s="134"/>
      <c r="H296" s="134"/>
      <c r="I296" s="134"/>
    </row>
    <row r="297" ht="15.75" customHeight="1">
      <c r="A297" s="133"/>
      <c r="C297" s="134"/>
      <c r="D297" s="134"/>
      <c r="E297" s="134"/>
      <c r="F297" s="134"/>
      <c r="G297" s="134"/>
      <c r="H297" s="134"/>
      <c r="I297" s="134"/>
    </row>
    <row r="298" ht="15.75" customHeight="1">
      <c r="A298" s="133"/>
      <c r="C298" s="134"/>
      <c r="D298" s="134"/>
      <c r="E298" s="134"/>
      <c r="F298" s="134"/>
      <c r="G298" s="134"/>
      <c r="H298" s="134"/>
      <c r="I298" s="134"/>
    </row>
    <row r="299" ht="15.75" customHeight="1">
      <c r="A299" s="133"/>
      <c r="C299" s="134"/>
      <c r="D299" s="134"/>
      <c r="E299" s="134"/>
      <c r="F299" s="134"/>
      <c r="G299" s="134"/>
      <c r="H299" s="134"/>
      <c r="I299" s="134"/>
    </row>
    <row r="300" ht="15.75" customHeight="1">
      <c r="A300" s="133"/>
      <c r="C300" s="134"/>
      <c r="D300" s="134"/>
      <c r="E300" s="134"/>
      <c r="F300" s="134"/>
      <c r="G300" s="134"/>
      <c r="H300" s="134"/>
      <c r="I300" s="134"/>
    </row>
    <row r="301" ht="15.75" customHeight="1">
      <c r="A301" s="133"/>
      <c r="C301" s="134"/>
      <c r="D301" s="134"/>
      <c r="E301" s="134"/>
      <c r="F301" s="134"/>
      <c r="G301" s="134"/>
      <c r="H301" s="134"/>
      <c r="I301" s="134"/>
    </row>
    <row r="302" ht="15.75" customHeight="1">
      <c r="A302" s="133"/>
      <c r="C302" s="134"/>
      <c r="D302" s="134"/>
      <c r="E302" s="134"/>
      <c r="F302" s="134"/>
      <c r="G302" s="134"/>
      <c r="H302" s="134"/>
      <c r="I302" s="134"/>
    </row>
    <row r="303" ht="15.75" customHeight="1">
      <c r="A303" s="133"/>
      <c r="C303" s="134"/>
      <c r="D303" s="134"/>
      <c r="E303" s="134"/>
      <c r="F303" s="134"/>
      <c r="G303" s="134"/>
      <c r="H303" s="134"/>
      <c r="I303" s="134"/>
    </row>
    <row r="304" ht="15.75" customHeight="1">
      <c r="A304" s="133"/>
      <c r="C304" s="134"/>
      <c r="D304" s="134"/>
      <c r="E304" s="134"/>
      <c r="F304" s="134"/>
      <c r="G304" s="134"/>
      <c r="H304" s="134"/>
      <c r="I304" s="134"/>
    </row>
    <row r="305" ht="15.75" customHeight="1">
      <c r="A305" s="133"/>
      <c r="C305" s="134"/>
      <c r="D305" s="134"/>
      <c r="E305" s="134"/>
      <c r="F305" s="134"/>
      <c r="G305" s="134"/>
      <c r="H305" s="134"/>
      <c r="I305" s="134"/>
    </row>
    <row r="306" ht="15.75" customHeight="1">
      <c r="A306" s="133"/>
      <c r="C306" s="134"/>
      <c r="D306" s="134"/>
      <c r="E306" s="134"/>
      <c r="F306" s="134"/>
      <c r="G306" s="134"/>
      <c r="H306" s="134"/>
      <c r="I306" s="134"/>
    </row>
    <row r="307" ht="15.75" customHeight="1">
      <c r="A307" s="133"/>
      <c r="C307" s="134"/>
      <c r="D307" s="134"/>
      <c r="E307" s="134"/>
      <c r="F307" s="134"/>
      <c r="G307" s="134"/>
      <c r="H307" s="134"/>
      <c r="I307" s="134"/>
    </row>
    <row r="308" ht="15.75" customHeight="1">
      <c r="A308" s="133"/>
      <c r="C308" s="134"/>
      <c r="D308" s="134"/>
      <c r="E308" s="134"/>
      <c r="F308" s="134"/>
      <c r="G308" s="134"/>
      <c r="H308" s="134"/>
      <c r="I308" s="134"/>
    </row>
    <row r="309" ht="15.75" customHeight="1">
      <c r="A309" s="133"/>
      <c r="C309" s="134"/>
      <c r="D309" s="134"/>
      <c r="E309" s="134"/>
      <c r="F309" s="134"/>
      <c r="G309" s="134"/>
      <c r="H309" s="134"/>
      <c r="I309" s="134"/>
    </row>
    <row r="310" ht="15.75" customHeight="1">
      <c r="A310" s="133"/>
      <c r="C310" s="134"/>
      <c r="D310" s="134"/>
      <c r="E310" s="134"/>
      <c r="F310" s="134"/>
      <c r="G310" s="134"/>
      <c r="H310" s="134"/>
      <c r="I310" s="134"/>
    </row>
    <row r="311" ht="15.75" customHeight="1">
      <c r="A311" s="133"/>
      <c r="C311" s="134"/>
      <c r="D311" s="134"/>
      <c r="E311" s="134"/>
      <c r="F311" s="134"/>
      <c r="G311" s="134"/>
      <c r="H311" s="134"/>
      <c r="I311" s="134"/>
    </row>
    <row r="312" ht="15.75" customHeight="1">
      <c r="A312" s="133"/>
      <c r="C312" s="134"/>
      <c r="D312" s="134"/>
      <c r="E312" s="134"/>
      <c r="F312" s="134"/>
      <c r="G312" s="134"/>
      <c r="H312" s="134"/>
      <c r="I312" s="134"/>
    </row>
    <row r="313" ht="15.75" customHeight="1">
      <c r="A313" s="133"/>
      <c r="C313" s="134"/>
      <c r="D313" s="134"/>
      <c r="E313" s="134"/>
      <c r="F313" s="134"/>
      <c r="G313" s="134"/>
      <c r="H313" s="134"/>
      <c r="I313" s="134"/>
    </row>
    <row r="314" ht="15.75" customHeight="1">
      <c r="A314" s="133"/>
      <c r="C314" s="134"/>
      <c r="D314" s="134"/>
      <c r="E314" s="134"/>
      <c r="F314" s="134"/>
      <c r="G314" s="134"/>
      <c r="H314" s="134"/>
      <c r="I314" s="134"/>
    </row>
    <row r="315" ht="15.75" customHeight="1">
      <c r="A315" s="133"/>
      <c r="C315" s="134"/>
      <c r="D315" s="134"/>
      <c r="E315" s="134"/>
      <c r="F315" s="134"/>
      <c r="G315" s="134"/>
      <c r="H315" s="134"/>
      <c r="I315" s="134"/>
    </row>
    <row r="316" ht="15.75" customHeight="1">
      <c r="A316" s="133"/>
      <c r="C316" s="134"/>
      <c r="D316" s="134"/>
      <c r="E316" s="134"/>
      <c r="F316" s="134"/>
      <c r="G316" s="134"/>
      <c r="H316" s="134"/>
      <c r="I316" s="134"/>
    </row>
    <row r="317" ht="15.75" customHeight="1">
      <c r="A317" s="133"/>
      <c r="C317" s="134"/>
      <c r="D317" s="134"/>
      <c r="E317" s="134"/>
      <c r="F317" s="134"/>
      <c r="G317" s="134"/>
      <c r="H317" s="134"/>
      <c r="I317" s="134"/>
    </row>
    <row r="318" ht="15.75" customHeight="1">
      <c r="A318" s="133"/>
      <c r="C318" s="134"/>
      <c r="D318" s="134"/>
      <c r="E318" s="134"/>
      <c r="F318" s="134"/>
      <c r="G318" s="134"/>
      <c r="H318" s="134"/>
      <c r="I318" s="134"/>
    </row>
    <row r="319" ht="15.75" customHeight="1">
      <c r="A319" s="133"/>
      <c r="C319" s="134"/>
      <c r="D319" s="134"/>
      <c r="E319" s="134"/>
      <c r="F319" s="134"/>
      <c r="G319" s="134"/>
      <c r="H319" s="134"/>
      <c r="I319" s="134"/>
    </row>
    <row r="320" ht="15.75" customHeight="1">
      <c r="A320" s="133"/>
      <c r="C320" s="134"/>
      <c r="D320" s="134"/>
      <c r="E320" s="134"/>
      <c r="F320" s="134"/>
      <c r="G320" s="134"/>
      <c r="H320" s="134"/>
      <c r="I320" s="134"/>
    </row>
    <row r="321" ht="15.75" customHeight="1">
      <c r="A321" s="133"/>
      <c r="C321" s="134"/>
      <c r="D321" s="134"/>
      <c r="E321" s="134"/>
      <c r="F321" s="134"/>
      <c r="G321" s="134"/>
      <c r="H321" s="134"/>
      <c r="I321" s="134"/>
    </row>
    <row r="322" ht="15.75" customHeight="1">
      <c r="A322" s="133"/>
      <c r="C322" s="134"/>
      <c r="D322" s="134"/>
      <c r="E322" s="134"/>
      <c r="F322" s="134"/>
      <c r="G322" s="134"/>
      <c r="H322" s="134"/>
      <c r="I322" s="134"/>
    </row>
    <row r="323" ht="15.75" customHeight="1">
      <c r="A323" s="133"/>
      <c r="C323" s="134"/>
      <c r="D323" s="134"/>
      <c r="E323" s="134"/>
      <c r="F323" s="134"/>
      <c r="G323" s="134"/>
      <c r="H323" s="134"/>
      <c r="I323" s="134"/>
    </row>
    <row r="324" ht="15.75" customHeight="1">
      <c r="A324" s="133"/>
      <c r="C324" s="134"/>
      <c r="D324" s="134"/>
      <c r="E324" s="134"/>
      <c r="F324" s="134"/>
      <c r="G324" s="134"/>
      <c r="H324" s="134"/>
      <c r="I324" s="134"/>
    </row>
    <row r="325" ht="15.75" customHeight="1">
      <c r="A325" s="133"/>
      <c r="C325" s="134"/>
      <c r="D325" s="134"/>
      <c r="E325" s="134"/>
      <c r="F325" s="134"/>
      <c r="G325" s="134"/>
      <c r="H325" s="134"/>
      <c r="I325" s="134"/>
    </row>
    <row r="326" ht="15.75" customHeight="1">
      <c r="A326" s="133"/>
      <c r="C326" s="134"/>
      <c r="D326" s="134"/>
      <c r="E326" s="134"/>
      <c r="F326" s="134"/>
      <c r="G326" s="134"/>
      <c r="H326" s="134"/>
      <c r="I326" s="134"/>
    </row>
    <row r="327" ht="15.75" customHeight="1">
      <c r="A327" s="133"/>
      <c r="C327" s="134"/>
      <c r="D327" s="134"/>
      <c r="E327" s="134"/>
      <c r="F327" s="134"/>
      <c r="G327" s="134"/>
      <c r="H327" s="134"/>
      <c r="I327" s="134"/>
    </row>
    <row r="328" ht="15.75" customHeight="1">
      <c r="A328" s="133"/>
      <c r="C328" s="134"/>
      <c r="D328" s="134"/>
      <c r="E328" s="134"/>
      <c r="F328" s="134"/>
      <c r="G328" s="134"/>
      <c r="H328" s="134"/>
      <c r="I328" s="134"/>
    </row>
    <row r="329" ht="15.75" customHeight="1">
      <c r="A329" s="133"/>
      <c r="C329" s="134"/>
      <c r="D329" s="134"/>
      <c r="E329" s="134"/>
      <c r="F329" s="134"/>
      <c r="G329" s="134"/>
      <c r="H329" s="134"/>
      <c r="I329" s="134"/>
    </row>
    <row r="330" ht="15.75" customHeight="1">
      <c r="A330" s="133"/>
      <c r="C330" s="134"/>
      <c r="D330" s="134"/>
      <c r="E330" s="134"/>
      <c r="F330" s="134"/>
      <c r="G330" s="134"/>
      <c r="H330" s="134"/>
      <c r="I330" s="134"/>
    </row>
    <row r="331" ht="15.75" customHeight="1">
      <c r="A331" s="133"/>
      <c r="C331" s="134"/>
      <c r="D331" s="134"/>
      <c r="E331" s="134"/>
      <c r="F331" s="134"/>
      <c r="G331" s="134"/>
      <c r="H331" s="134"/>
      <c r="I331" s="134"/>
    </row>
    <row r="332" ht="15.75" customHeight="1">
      <c r="A332" s="133"/>
      <c r="C332" s="134"/>
      <c r="D332" s="134"/>
      <c r="E332" s="134"/>
      <c r="F332" s="134"/>
      <c r="G332" s="134"/>
      <c r="H332" s="134"/>
      <c r="I332" s="134"/>
    </row>
    <row r="333" ht="15.75" customHeight="1">
      <c r="A333" s="133"/>
      <c r="C333" s="134"/>
      <c r="D333" s="134"/>
      <c r="E333" s="134"/>
      <c r="F333" s="134"/>
      <c r="G333" s="134"/>
      <c r="H333" s="134"/>
      <c r="I333" s="134"/>
    </row>
    <row r="334" ht="15.75" customHeight="1">
      <c r="A334" s="133"/>
      <c r="C334" s="134"/>
      <c r="D334" s="134"/>
      <c r="E334" s="134"/>
      <c r="F334" s="134"/>
      <c r="G334" s="134"/>
      <c r="H334" s="134"/>
      <c r="I334" s="134"/>
    </row>
    <row r="335" ht="15.75" customHeight="1">
      <c r="A335" s="133"/>
      <c r="C335" s="134"/>
      <c r="D335" s="134"/>
      <c r="E335" s="134"/>
      <c r="F335" s="134"/>
      <c r="G335" s="134"/>
      <c r="H335" s="134"/>
      <c r="I335" s="134"/>
    </row>
    <row r="336" ht="15.75" customHeight="1">
      <c r="A336" s="133"/>
      <c r="C336" s="134"/>
      <c r="D336" s="134"/>
      <c r="E336" s="134"/>
      <c r="F336" s="134"/>
      <c r="G336" s="134"/>
      <c r="H336" s="134"/>
      <c r="I336" s="134"/>
    </row>
    <row r="337" ht="15.75" customHeight="1">
      <c r="A337" s="133"/>
      <c r="C337" s="134"/>
      <c r="D337" s="134"/>
      <c r="E337" s="134"/>
      <c r="F337" s="134"/>
      <c r="G337" s="134"/>
      <c r="H337" s="134"/>
      <c r="I337" s="134"/>
    </row>
    <row r="338" ht="15.75" customHeight="1">
      <c r="A338" s="133"/>
      <c r="C338" s="134"/>
      <c r="D338" s="134"/>
      <c r="E338" s="134"/>
      <c r="F338" s="134"/>
      <c r="G338" s="134"/>
      <c r="H338" s="134"/>
      <c r="I338" s="134"/>
    </row>
    <row r="339" ht="15.75" customHeight="1">
      <c r="A339" s="133"/>
      <c r="C339" s="134"/>
      <c r="D339" s="134"/>
      <c r="E339" s="134"/>
      <c r="F339" s="134"/>
      <c r="G339" s="134"/>
      <c r="H339" s="134"/>
      <c r="I339" s="134"/>
    </row>
    <row r="340" ht="15.75" customHeight="1">
      <c r="A340" s="133"/>
      <c r="C340" s="134"/>
      <c r="D340" s="134"/>
      <c r="E340" s="134"/>
      <c r="F340" s="134"/>
      <c r="G340" s="134"/>
      <c r="H340" s="134"/>
      <c r="I340" s="134"/>
    </row>
    <row r="341" ht="15.75" customHeight="1">
      <c r="A341" s="133"/>
      <c r="C341" s="134"/>
      <c r="D341" s="134"/>
      <c r="E341" s="134"/>
      <c r="F341" s="134"/>
      <c r="G341" s="134"/>
      <c r="H341" s="134"/>
      <c r="I341" s="134"/>
    </row>
    <row r="342" ht="15.75" customHeight="1">
      <c r="A342" s="133"/>
      <c r="C342" s="134"/>
      <c r="D342" s="134"/>
      <c r="E342" s="134"/>
      <c r="F342" s="134"/>
      <c r="G342" s="134"/>
      <c r="H342" s="134"/>
      <c r="I342" s="134"/>
    </row>
    <row r="343" ht="15.75" customHeight="1">
      <c r="A343" s="133"/>
      <c r="C343" s="134"/>
      <c r="D343" s="134"/>
      <c r="E343" s="134"/>
      <c r="F343" s="134"/>
      <c r="G343" s="134"/>
      <c r="H343" s="134"/>
      <c r="I343" s="134"/>
    </row>
    <row r="344" ht="15.75" customHeight="1">
      <c r="A344" s="133"/>
      <c r="C344" s="134"/>
      <c r="D344" s="134"/>
      <c r="E344" s="134"/>
      <c r="F344" s="134"/>
      <c r="G344" s="134"/>
      <c r="H344" s="134"/>
      <c r="I344" s="134"/>
    </row>
    <row r="345" ht="15.75" customHeight="1">
      <c r="A345" s="133"/>
      <c r="C345" s="134"/>
      <c r="D345" s="134"/>
      <c r="E345" s="134"/>
      <c r="F345" s="134"/>
      <c r="G345" s="134"/>
      <c r="H345" s="134"/>
      <c r="I345" s="134"/>
    </row>
    <row r="346" ht="15.75" customHeight="1">
      <c r="A346" s="133"/>
      <c r="C346" s="134"/>
      <c r="D346" s="134"/>
      <c r="E346" s="134"/>
      <c r="F346" s="134"/>
      <c r="G346" s="134"/>
      <c r="H346" s="134"/>
      <c r="I346" s="134"/>
    </row>
    <row r="347" ht="15.75" customHeight="1">
      <c r="A347" s="133"/>
      <c r="C347" s="134"/>
      <c r="D347" s="134"/>
      <c r="E347" s="134"/>
      <c r="F347" s="134"/>
      <c r="G347" s="134"/>
      <c r="H347" s="134"/>
      <c r="I347" s="134"/>
    </row>
    <row r="348" ht="15.75" customHeight="1">
      <c r="A348" s="133"/>
      <c r="C348" s="134"/>
      <c r="D348" s="134"/>
      <c r="E348" s="134"/>
      <c r="F348" s="134"/>
      <c r="G348" s="134"/>
      <c r="H348" s="134"/>
      <c r="I348" s="134"/>
    </row>
    <row r="349" ht="15.75" customHeight="1">
      <c r="A349" s="133"/>
      <c r="C349" s="134"/>
      <c r="D349" s="134"/>
      <c r="E349" s="134"/>
      <c r="F349" s="134"/>
      <c r="G349" s="134"/>
      <c r="H349" s="134"/>
      <c r="I349" s="134"/>
    </row>
    <row r="350" ht="15.75" customHeight="1">
      <c r="A350" s="133"/>
      <c r="C350" s="134"/>
      <c r="D350" s="134"/>
      <c r="E350" s="134"/>
      <c r="F350" s="134"/>
      <c r="G350" s="134"/>
      <c r="H350" s="134"/>
      <c r="I350" s="134"/>
    </row>
    <row r="351" ht="15.75" customHeight="1">
      <c r="A351" s="133"/>
      <c r="C351" s="134"/>
      <c r="D351" s="134"/>
      <c r="E351" s="134"/>
      <c r="F351" s="134"/>
      <c r="G351" s="134"/>
      <c r="H351" s="134"/>
      <c r="I351" s="134"/>
    </row>
    <row r="352" ht="15.75" customHeight="1">
      <c r="A352" s="133"/>
      <c r="C352" s="134"/>
      <c r="D352" s="134"/>
      <c r="E352" s="134"/>
      <c r="F352" s="134"/>
      <c r="G352" s="134"/>
      <c r="H352" s="134"/>
      <c r="I352" s="134"/>
    </row>
    <row r="353" ht="15.75" customHeight="1">
      <c r="A353" s="133"/>
      <c r="C353" s="134"/>
      <c r="D353" s="134"/>
      <c r="E353" s="134"/>
      <c r="F353" s="134"/>
      <c r="G353" s="134"/>
      <c r="H353" s="134"/>
      <c r="I353" s="134"/>
    </row>
    <row r="354" ht="15.75" customHeight="1">
      <c r="A354" s="133"/>
      <c r="C354" s="134"/>
      <c r="D354" s="134"/>
      <c r="E354" s="134"/>
      <c r="F354" s="134"/>
      <c r="G354" s="134"/>
      <c r="H354" s="134"/>
      <c r="I354" s="134"/>
    </row>
    <row r="355" ht="15.75" customHeight="1">
      <c r="A355" s="133"/>
      <c r="C355" s="134"/>
      <c r="D355" s="134"/>
      <c r="E355" s="134"/>
      <c r="F355" s="134"/>
      <c r="G355" s="134"/>
      <c r="H355" s="134"/>
      <c r="I355" s="134"/>
    </row>
    <row r="356" ht="15.75" customHeight="1">
      <c r="A356" s="133"/>
      <c r="C356" s="134"/>
      <c r="D356" s="134"/>
      <c r="E356" s="134"/>
      <c r="F356" s="134"/>
      <c r="G356" s="134"/>
      <c r="H356" s="134"/>
      <c r="I356" s="134"/>
    </row>
    <row r="357" ht="15.75" customHeight="1">
      <c r="A357" s="133"/>
      <c r="C357" s="134"/>
      <c r="D357" s="134"/>
      <c r="E357" s="134"/>
      <c r="F357" s="134"/>
      <c r="G357" s="134"/>
      <c r="H357" s="134"/>
      <c r="I357" s="134"/>
    </row>
    <row r="358" ht="15.75" customHeight="1">
      <c r="A358" s="133"/>
      <c r="C358" s="134"/>
      <c r="D358" s="134"/>
      <c r="E358" s="134"/>
      <c r="F358" s="134"/>
      <c r="G358" s="134"/>
      <c r="H358" s="134"/>
      <c r="I358" s="134"/>
    </row>
    <row r="359" ht="15.75" customHeight="1">
      <c r="A359" s="133"/>
      <c r="C359" s="134"/>
      <c r="D359" s="134"/>
      <c r="E359" s="134"/>
      <c r="F359" s="134"/>
      <c r="G359" s="134"/>
      <c r="H359" s="134"/>
      <c r="I359" s="134"/>
    </row>
    <row r="360" ht="15.75" customHeight="1">
      <c r="A360" s="133"/>
      <c r="C360" s="134"/>
      <c r="D360" s="134"/>
      <c r="E360" s="134"/>
      <c r="F360" s="134"/>
      <c r="G360" s="134"/>
      <c r="H360" s="134"/>
      <c r="I360" s="134"/>
    </row>
    <row r="361" ht="15.75" customHeight="1">
      <c r="A361" s="133"/>
      <c r="C361" s="134"/>
      <c r="D361" s="134"/>
      <c r="E361" s="134"/>
      <c r="F361" s="134"/>
      <c r="G361" s="134"/>
      <c r="H361" s="134"/>
      <c r="I361" s="134"/>
    </row>
    <row r="362" ht="15.75" customHeight="1">
      <c r="A362" s="133"/>
      <c r="C362" s="134"/>
      <c r="D362" s="134"/>
      <c r="E362" s="134"/>
      <c r="F362" s="134"/>
      <c r="G362" s="134"/>
      <c r="H362" s="134"/>
      <c r="I362" s="134"/>
    </row>
    <row r="363" ht="15.75" customHeight="1">
      <c r="A363" s="133"/>
      <c r="C363" s="134"/>
      <c r="D363" s="134"/>
      <c r="E363" s="134"/>
      <c r="F363" s="134"/>
      <c r="G363" s="134"/>
      <c r="H363" s="134"/>
      <c r="I363" s="134"/>
    </row>
    <row r="364" ht="15.75" customHeight="1">
      <c r="A364" s="133"/>
      <c r="C364" s="134"/>
      <c r="D364" s="134"/>
      <c r="E364" s="134"/>
      <c r="F364" s="134"/>
      <c r="G364" s="134"/>
      <c r="H364" s="134"/>
      <c r="I364" s="134"/>
    </row>
    <row r="365" ht="15.75" customHeight="1">
      <c r="A365" s="133"/>
      <c r="C365" s="134"/>
      <c r="D365" s="134"/>
      <c r="E365" s="134"/>
      <c r="F365" s="134"/>
      <c r="G365" s="134"/>
      <c r="H365" s="134"/>
      <c r="I365" s="134"/>
    </row>
    <row r="366" ht="15.75" customHeight="1">
      <c r="A366" s="133"/>
      <c r="C366" s="134"/>
      <c r="D366" s="134"/>
      <c r="E366" s="134"/>
      <c r="F366" s="134"/>
      <c r="G366" s="134"/>
      <c r="H366" s="134"/>
      <c r="I366" s="134"/>
    </row>
    <row r="367" ht="15.75" customHeight="1">
      <c r="A367" s="133"/>
      <c r="C367" s="134"/>
      <c r="D367" s="134"/>
      <c r="E367" s="134"/>
      <c r="F367" s="134"/>
      <c r="G367" s="134"/>
      <c r="H367" s="134"/>
      <c r="I367" s="134"/>
    </row>
    <row r="368" ht="15.75" customHeight="1">
      <c r="A368" s="133"/>
      <c r="C368" s="134"/>
      <c r="D368" s="134"/>
      <c r="E368" s="134"/>
      <c r="F368" s="134"/>
      <c r="G368" s="134"/>
      <c r="H368" s="134"/>
      <c r="I368" s="134"/>
    </row>
    <row r="369" ht="15.75" customHeight="1">
      <c r="A369" s="133"/>
      <c r="C369" s="134"/>
      <c r="D369" s="134"/>
      <c r="E369" s="134"/>
      <c r="F369" s="134"/>
      <c r="G369" s="134"/>
      <c r="H369" s="134"/>
      <c r="I369" s="134"/>
    </row>
    <row r="370" ht="15.75" customHeight="1">
      <c r="A370" s="133"/>
      <c r="C370" s="134"/>
      <c r="D370" s="134"/>
      <c r="E370" s="134"/>
      <c r="F370" s="134"/>
      <c r="G370" s="134"/>
      <c r="H370" s="134"/>
      <c r="I370" s="134"/>
    </row>
    <row r="371" ht="15.75" customHeight="1">
      <c r="A371" s="133"/>
      <c r="C371" s="134"/>
      <c r="D371" s="134"/>
      <c r="E371" s="134"/>
      <c r="F371" s="134"/>
      <c r="G371" s="134"/>
      <c r="H371" s="134"/>
      <c r="I371" s="134"/>
    </row>
    <row r="372" ht="15.75" customHeight="1">
      <c r="A372" s="133"/>
      <c r="C372" s="134"/>
      <c r="D372" s="134"/>
      <c r="E372" s="134"/>
      <c r="F372" s="134"/>
      <c r="G372" s="134"/>
      <c r="H372" s="134"/>
      <c r="I372" s="134"/>
    </row>
    <row r="373" ht="15.75" customHeight="1">
      <c r="A373" s="133"/>
      <c r="C373" s="134"/>
      <c r="D373" s="134"/>
      <c r="E373" s="134"/>
      <c r="F373" s="134"/>
      <c r="G373" s="134"/>
      <c r="H373" s="134"/>
      <c r="I373" s="134"/>
    </row>
    <row r="374" ht="15.75" customHeight="1">
      <c r="A374" s="133"/>
      <c r="C374" s="134"/>
      <c r="D374" s="134"/>
      <c r="E374" s="134"/>
      <c r="F374" s="134"/>
      <c r="G374" s="134"/>
      <c r="H374" s="134"/>
      <c r="I374" s="134"/>
    </row>
    <row r="375" ht="15.75" customHeight="1">
      <c r="A375" s="133"/>
      <c r="C375" s="134"/>
      <c r="D375" s="134"/>
      <c r="E375" s="134"/>
      <c r="F375" s="134"/>
      <c r="G375" s="134"/>
      <c r="H375" s="134"/>
      <c r="I375" s="134"/>
    </row>
    <row r="376" ht="15.75" customHeight="1">
      <c r="A376" s="133"/>
      <c r="C376" s="134"/>
      <c r="D376" s="134"/>
      <c r="E376" s="134"/>
      <c r="F376" s="134"/>
      <c r="G376" s="134"/>
      <c r="H376" s="134"/>
      <c r="I376" s="134"/>
    </row>
    <row r="377" ht="15.75" customHeight="1">
      <c r="A377" s="133"/>
      <c r="C377" s="134"/>
      <c r="D377" s="134"/>
      <c r="E377" s="134"/>
      <c r="F377" s="134"/>
      <c r="G377" s="134"/>
      <c r="H377" s="134"/>
      <c r="I377" s="134"/>
    </row>
    <row r="378" ht="15.75" customHeight="1">
      <c r="A378" s="133"/>
      <c r="C378" s="134"/>
      <c r="D378" s="134"/>
      <c r="E378" s="134"/>
      <c r="F378" s="134"/>
      <c r="G378" s="134"/>
      <c r="H378" s="134"/>
      <c r="I378" s="134"/>
    </row>
    <row r="379" ht="15.75" customHeight="1">
      <c r="A379" s="133"/>
      <c r="C379" s="134"/>
      <c r="D379" s="134"/>
      <c r="E379" s="134"/>
      <c r="F379" s="134"/>
      <c r="G379" s="134"/>
      <c r="H379" s="134"/>
      <c r="I379" s="134"/>
    </row>
    <row r="380" ht="15.75" customHeight="1">
      <c r="A380" s="133"/>
      <c r="C380" s="134"/>
      <c r="D380" s="134"/>
      <c r="E380" s="134"/>
      <c r="F380" s="134"/>
      <c r="G380" s="134"/>
      <c r="H380" s="134"/>
      <c r="I380" s="134"/>
    </row>
    <row r="381" ht="15.75" customHeight="1">
      <c r="A381" s="133"/>
      <c r="C381" s="134"/>
      <c r="D381" s="134"/>
      <c r="E381" s="134"/>
      <c r="F381" s="134"/>
      <c r="G381" s="134"/>
      <c r="H381" s="134"/>
      <c r="I381" s="134"/>
    </row>
    <row r="382" ht="15.75" customHeight="1">
      <c r="A382" s="133"/>
      <c r="C382" s="134"/>
      <c r="D382" s="134"/>
      <c r="E382" s="134"/>
      <c r="F382" s="134"/>
      <c r="G382" s="134"/>
      <c r="H382" s="134"/>
      <c r="I382" s="134"/>
    </row>
    <row r="383" ht="15.75" customHeight="1">
      <c r="A383" s="133"/>
      <c r="C383" s="134"/>
      <c r="D383" s="134"/>
      <c r="E383" s="134"/>
      <c r="F383" s="134"/>
      <c r="G383" s="134"/>
      <c r="H383" s="134"/>
      <c r="I383" s="134"/>
    </row>
    <row r="384" ht="15.75" customHeight="1">
      <c r="A384" s="133"/>
      <c r="C384" s="134"/>
      <c r="D384" s="134"/>
      <c r="E384" s="134"/>
      <c r="F384" s="134"/>
      <c r="G384" s="134"/>
      <c r="H384" s="134"/>
      <c r="I384" s="134"/>
    </row>
    <row r="385" ht="15.75" customHeight="1">
      <c r="A385" s="133"/>
      <c r="C385" s="134"/>
      <c r="D385" s="134"/>
      <c r="E385" s="134"/>
      <c r="F385" s="134"/>
      <c r="G385" s="134"/>
      <c r="H385" s="134"/>
      <c r="I385" s="134"/>
    </row>
    <row r="386" ht="15.75" customHeight="1">
      <c r="A386" s="133"/>
      <c r="C386" s="134"/>
      <c r="D386" s="134"/>
      <c r="E386" s="134"/>
      <c r="F386" s="134"/>
      <c r="G386" s="134"/>
      <c r="H386" s="134"/>
      <c r="I386" s="134"/>
    </row>
    <row r="387" ht="15.75" customHeight="1">
      <c r="A387" s="133"/>
      <c r="C387" s="134"/>
      <c r="D387" s="134"/>
      <c r="E387" s="134"/>
      <c r="F387" s="134"/>
      <c r="G387" s="134"/>
      <c r="H387" s="134"/>
      <c r="I387" s="134"/>
    </row>
    <row r="388" ht="15.75" customHeight="1">
      <c r="A388" s="133"/>
      <c r="C388" s="134"/>
      <c r="D388" s="134"/>
      <c r="E388" s="134"/>
      <c r="F388" s="134"/>
      <c r="G388" s="134"/>
      <c r="H388" s="134"/>
      <c r="I388" s="134"/>
    </row>
    <row r="389" ht="15.75" customHeight="1">
      <c r="A389" s="133"/>
      <c r="C389" s="134"/>
      <c r="D389" s="134"/>
      <c r="E389" s="134"/>
      <c r="F389" s="134"/>
      <c r="G389" s="134"/>
      <c r="H389" s="134"/>
      <c r="I389" s="134"/>
    </row>
    <row r="390" ht="15.75" customHeight="1">
      <c r="A390" s="133"/>
      <c r="C390" s="134"/>
      <c r="D390" s="134"/>
      <c r="E390" s="134"/>
      <c r="F390" s="134"/>
      <c r="G390" s="134"/>
      <c r="H390" s="134"/>
      <c r="I390" s="134"/>
    </row>
    <row r="391" ht="15.75" customHeight="1">
      <c r="A391" s="133"/>
      <c r="C391" s="134"/>
      <c r="D391" s="134"/>
      <c r="E391" s="134"/>
      <c r="F391" s="134"/>
      <c r="G391" s="134"/>
      <c r="H391" s="134"/>
      <c r="I391" s="134"/>
    </row>
    <row r="392" ht="15.75" customHeight="1">
      <c r="A392" s="133"/>
      <c r="C392" s="134"/>
      <c r="D392" s="134"/>
      <c r="E392" s="134"/>
      <c r="F392" s="134"/>
      <c r="G392" s="134"/>
      <c r="H392" s="134"/>
      <c r="I392" s="134"/>
    </row>
    <row r="393" ht="15.75" customHeight="1">
      <c r="A393" s="133"/>
      <c r="C393" s="134"/>
      <c r="D393" s="134"/>
      <c r="E393" s="134"/>
      <c r="F393" s="134"/>
      <c r="G393" s="134"/>
      <c r="H393" s="134"/>
      <c r="I393" s="134"/>
    </row>
    <row r="394" ht="15.75" customHeight="1">
      <c r="A394" s="133"/>
      <c r="C394" s="134"/>
      <c r="D394" s="134"/>
      <c r="E394" s="134"/>
      <c r="F394" s="134"/>
      <c r="G394" s="134"/>
      <c r="H394" s="134"/>
      <c r="I394" s="134"/>
    </row>
    <row r="395" ht="15.75" customHeight="1">
      <c r="A395" s="133"/>
      <c r="C395" s="134"/>
      <c r="D395" s="134"/>
      <c r="E395" s="134"/>
      <c r="F395" s="134"/>
      <c r="G395" s="134"/>
      <c r="H395" s="134"/>
      <c r="I395" s="134"/>
    </row>
    <row r="396" ht="15.75" customHeight="1">
      <c r="A396" s="133"/>
      <c r="C396" s="134"/>
      <c r="D396" s="134"/>
      <c r="E396" s="134"/>
      <c r="F396" s="134"/>
      <c r="G396" s="134"/>
      <c r="H396" s="134"/>
      <c r="I396" s="134"/>
    </row>
    <row r="397" ht="15.75" customHeight="1">
      <c r="A397" s="133"/>
      <c r="C397" s="134"/>
      <c r="D397" s="134"/>
      <c r="E397" s="134"/>
      <c r="F397" s="134"/>
      <c r="G397" s="134"/>
      <c r="H397" s="134"/>
      <c r="I397" s="134"/>
    </row>
    <row r="398" ht="15.75" customHeight="1">
      <c r="A398" s="133"/>
      <c r="C398" s="134"/>
      <c r="D398" s="134"/>
      <c r="E398" s="134"/>
      <c r="F398" s="134"/>
      <c r="G398" s="134"/>
      <c r="H398" s="134"/>
      <c r="I398" s="134"/>
    </row>
    <row r="399" ht="15.75" customHeight="1">
      <c r="A399" s="133"/>
      <c r="C399" s="134"/>
      <c r="D399" s="134"/>
      <c r="E399" s="134"/>
      <c r="F399" s="134"/>
      <c r="G399" s="134"/>
      <c r="H399" s="134"/>
      <c r="I399" s="134"/>
    </row>
    <row r="400" ht="15.75" customHeight="1">
      <c r="A400" s="133"/>
      <c r="C400" s="134"/>
      <c r="D400" s="134"/>
      <c r="E400" s="134"/>
      <c r="F400" s="134"/>
      <c r="G400" s="134"/>
      <c r="H400" s="134"/>
      <c r="I400" s="134"/>
    </row>
    <row r="401" ht="15.75" customHeight="1">
      <c r="A401" s="133"/>
      <c r="C401" s="134"/>
      <c r="D401" s="134"/>
      <c r="E401" s="134"/>
      <c r="F401" s="134"/>
      <c r="G401" s="134"/>
      <c r="H401" s="134"/>
      <c r="I401" s="134"/>
    </row>
    <row r="402" ht="15.75" customHeight="1">
      <c r="A402" s="133"/>
      <c r="C402" s="134"/>
      <c r="D402" s="134"/>
      <c r="E402" s="134"/>
      <c r="F402" s="134"/>
      <c r="G402" s="134"/>
      <c r="H402" s="134"/>
      <c r="I402" s="134"/>
    </row>
    <row r="403" ht="15.75" customHeight="1">
      <c r="A403" s="133"/>
      <c r="C403" s="134"/>
      <c r="D403" s="134"/>
      <c r="E403" s="134"/>
      <c r="F403" s="134"/>
      <c r="G403" s="134"/>
      <c r="H403" s="134"/>
      <c r="I403" s="134"/>
    </row>
    <row r="404" ht="15.75" customHeight="1">
      <c r="A404" s="133"/>
      <c r="C404" s="134"/>
      <c r="D404" s="134"/>
      <c r="E404" s="134"/>
      <c r="F404" s="134"/>
      <c r="G404" s="134"/>
      <c r="H404" s="134"/>
      <c r="I404" s="134"/>
    </row>
    <row r="405" ht="15.75" customHeight="1">
      <c r="A405" s="133"/>
      <c r="C405" s="134"/>
      <c r="D405" s="134"/>
      <c r="E405" s="134"/>
      <c r="F405" s="134"/>
      <c r="G405" s="134"/>
      <c r="H405" s="134"/>
      <c r="I405" s="134"/>
    </row>
    <row r="406" ht="15.75" customHeight="1">
      <c r="A406" s="133"/>
      <c r="C406" s="134"/>
      <c r="D406" s="134"/>
      <c r="E406" s="134"/>
      <c r="F406" s="134"/>
      <c r="G406" s="134"/>
      <c r="H406" s="134"/>
      <c r="I406" s="134"/>
    </row>
    <row r="407" ht="15.75" customHeight="1">
      <c r="A407" s="133"/>
      <c r="C407" s="134"/>
      <c r="D407" s="134"/>
      <c r="E407" s="134"/>
      <c r="F407" s="134"/>
      <c r="G407" s="134"/>
      <c r="H407" s="134"/>
      <c r="I407" s="134"/>
    </row>
    <row r="408" ht="15.75" customHeight="1">
      <c r="A408" s="133"/>
      <c r="C408" s="134"/>
      <c r="D408" s="134"/>
      <c r="E408" s="134"/>
      <c r="F408" s="134"/>
      <c r="G408" s="134"/>
      <c r="H408" s="134"/>
      <c r="I408" s="134"/>
    </row>
    <row r="409" ht="15.75" customHeight="1">
      <c r="A409" s="133"/>
      <c r="C409" s="134"/>
      <c r="D409" s="134"/>
      <c r="E409" s="134"/>
      <c r="F409" s="134"/>
      <c r="G409" s="134"/>
      <c r="H409" s="134"/>
      <c r="I409" s="134"/>
    </row>
    <row r="410" ht="15.75" customHeight="1">
      <c r="A410" s="133"/>
      <c r="C410" s="134"/>
      <c r="D410" s="134"/>
      <c r="E410" s="134"/>
      <c r="F410" s="134"/>
      <c r="G410" s="134"/>
      <c r="H410" s="134"/>
      <c r="I410" s="134"/>
    </row>
    <row r="411" ht="15.75" customHeight="1">
      <c r="A411" s="133"/>
      <c r="C411" s="134"/>
      <c r="D411" s="134"/>
      <c r="E411" s="134"/>
      <c r="F411" s="134"/>
      <c r="G411" s="134"/>
      <c r="H411" s="134"/>
      <c r="I411" s="134"/>
    </row>
    <row r="412" ht="15.75" customHeight="1">
      <c r="A412" s="133"/>
      <c r="C412" s="134"/>
      <c r="D412" s="134"/>
      <c r="E412" s="134"/>
      <c r="F412" s="134"/>
      <c r="G412" s="134"/>
      <c r="H412" s="134"/>
      <c r="I412" s="134"/>
    </row>
    <row r="413" ht="15.75" customHeight="1">
      <c r="A413" s="133"/>
      <c r="C413" s="134"/>
      <c r="D413" s="134"/>
      <c r="E413" s="134"/>
      <c r="F413" s="134"/>
      <c r="G413" s="134"/>
      <c r="H413" s="134"/>
      <c r="I413" s="134"/>
    </row>
    <row r="414" ht="15.75" customHeight="1">
      <c r="A414" s="133"/>
      <c r="C414" s="134"/>
      <c r="D414" s="134"/>
      <c r="E414" s="134"/>
      <c r="F414" s="134"/>
      <c r="G414" s="134"/>
      <c r="H414" s="134"/>
      <c r="I414" s="134"/>
    </row>
    <row r="415" ht="15.75" customHeight="1">
      <c r="A415" s="133"/>
      <c r="C415" s="134"/>
      <c r="D415" s="134"/>
      <c r="E415" s="134"/>
      <c r="F415" s="134"/>
      <c r="G415" s="134"/>
      <c r="H415" s="134"/>
      <c r="I415" s="134"/>
    </row>
    <row r="416" ht="15.75" customHeight="1">
      <c r="A416" s="133"/>
      <c r="C416" s="134"/>
      <c r="D416" s="134"/>
      <c r="E416" s="134"/>
      <c r="F416" s="134"/>
      <c r="G416" s="134"/>
      <c r="H416" s="134"/>
      <c r="I416" s="134"/>
    </row>
    <row r="417" ht="15.75" customHeight="1">
      <c r="A417" s="133"/>
      <c r="C417" s="134"/>
      <c r="D417" s="134"/>
      <c r="E417" s="134"/>
      <c r="F417" s="134"/>
      <c r="G417" s="134"/>
      <c r="H417" s="134"/>
      <c r="I417" s="134"/>
    </row>
    <row r="418" ht="15.75" customHeight="1">
      <c r="A418" s="133"/>
      <c r="C418" s="134"/>
      <c r="D418" s="134"/>
      <c r="E418" s="134"/>
      <c r="F418" s="134"/>
      <c r="G418" s="134"/>
      <c r="H418" s="134"/>
      <c r="I418" s="134"/>
    </row>
    <row r="419" ht="15.75" customHeight="1">
      <c r="A419" s="133"/>
      <c r="C419" s="134"/>
      <c r="D419" s="134"/>
      <c r="E419" s="134"/>
      <c r="F419" s="134"/>
      <c r="G419" s="134"/>
      <c r="H419" s="134"/>
      <c r="I419" s="134"/>
    </row>
    <row r="420" ht="15.75" customHeight="1">
      <c r="A420" s="133"/>
      <c r="C420" s="134"/>
      <c r="D420" s="134"/>
      <c r="E420" s="134"/>
      <c r="F420" s="134"/>
      <c r="G420" s="134"/>
      <c r="H420" s="134"/>
      <c r="I420" s="134"/>
    </row>
    <row r="421" ht="15.75" customHeight="1">
      <c r="A421" s="133"/>
      <c r="C421" s="134"/>
      <c r="D421" s="134"/>
      <c r="E421" s="134"/>
      <c r="F421" s="134"/>
      <c r="G421" s="134"/>
      <c r="H421" s="134"/>
      <c r="I421" s="134"/>
    </row>
    <row r="422" ht="15.75" customHeight="1">
      <c r="A422" s="133"/>
      <c r="C422" s="134"/>
      <c r="D422" s="134"/>
      <c r="E422" s="134"/>
      <c r="F422" s="134"/>
      <c r="G422" s="134"/>
      <c r="H422" s="134"/>
      <c r="I422" s="134"/>
    </row>
    <row r="423" ht="15.75" customHeight="1">
      <c r="A423" s="133"/>
      <c r="C423" s="134"/>
      <c r="D423" s="134"/>
      <c r="E423" s="134"/>
      <c r="F423" s="134"/>
      <c r="G423" s="134"/>
      <c r="H423" s="134"/>
      <c r="I423" s="134"/>
    </row>
    <row r="424" ht="15.75" customHeight="1">
      <c r="A424" s="133"/>
      <c r="C424" s="134"/>
      <c r="D424" s="134"/>
      <c r="E424" s="134"/>
      <c r="F424" s="134"/>
      <c r="G424" s="134"/>
      <c r="H424" s="134"/>
      <c r="I424" s="134"/>
    </row>
    <row r="425" ht="15.75" customHeight="1">
      <c r="A425" s="133"/>
      <c r="C425" s="134"/>
      <c r="D425" s="134"/>
      <c r="E425" s="134"/>
      <c r="F425" s="134"/>
      <c r="G425" s="134"/>
      <c r="H425" s="134"/>
      <c r="I425" s="134"/>
    </row>
    <row r="426" ht="15.75" customHeight="1">
      <c r="A426" s="133"/>
      <c r="C426" s="134"/>
      <c r="D426" s="134"/>
      <c r="E426" s="134"/>
      <c r="F426" s="134"/>
      <c r="G426" s="134"/>
      <c r="H426" s="134"/>
      <c r="I426" s="134"/>
    </row>
    <row r="427" ht="15.75" customHeight="1">
      <c r="A427" s="133"/>
      <c r="C427" s="134"/>
      <c r="D427" s="134"/>
      <c r="E427" s="134"/>
      <c r="F427" s="134"/>
      <c r="G427" s="134"/>
      <c r="H427" s="134"/>
      <c r="I427" s="134"/>
    </row>
    <row r="428" ht="15.75" customHeight="1">
      <c r="A428" s="133"/>
      <c r="C428" s="134"/>
      <c r="D428" s="134"/>
      <c r="E428" s="134"/>
      <c r="F428" s="134"/>
      <c r="G428" s="134"/>
      <c r="H428" s="134"/>
      <c r="I428" s="134"/>
    </row>
    <row r="429" ht="15.75" customHeight="1">
      <c r="A429" s="133"/>
      <c r="C429" s="134"/>
      <c r="D429" s="134"/>
      <c r="E429" s="134"/>
      <c r="F429" s="134"/>
      <c r="G429" s="134"/>
      <c r="H429" s="134"/>
      <c r="I429" s="134"/>
    </row>
    <row r="430" ht="15.75" customHeight="1">
      <c r="A430" s="133"/>
      <c r="C430" s="134"/>
      <c r="D430" s="134"/>
      <c r="E430" s="134"/>
      <c r="F430" s="134"/>
      <c r="G430" s="134"/>
      <c r="H430" s="134"/>
      <c r="I430" s="134"/>
    </row>
    <row r="431" ht="15.75" customHeight="1">
      <c r="A431" s="133"/>
      <c r="C431" s="134"/>
      <c r="D431" s="134"/>
      <c r="E431" s="134"/>
      <c r="F431" s="134"/>
      <c r="G431" s="134"/>
      <c r="H431" s="134"/>
      <c r="I431" s="134"/>
    </row>
    <row r="432" ht="15.75" customHeight="1">
      <c r="A432" s="133"/>
      <c r="C432" s="134"/>
      <c r="D432" s="134"/>
      <c r="E432" s="134"/>
      <c r="F432" s="134"/>
      <c r="G432" s="134"/>
      <c r="H432" s="134"/>
      <c r="I432" s="134"/>
    </row>
    <row r="433" ht="15.75" customHeight="1">
      <c r="A433" s="133"/>
      <c r="C433" s="134"/>
      <c r="D433" s="134"/>
      <c r="E433" s="134"/>
      <c r="F433" s="134"/>
      <c r="G433" s="134"/>
      <c r="H433" s="134"/>
      <c r="I433" s="134"/>
    </row>
    <row r="434" ht="15.75" customHeight="1">
      <c r="A434" s="133"/>
      <c r="C434" s="134"/>
      <c r="D434" s="134"/>
      <c r="E434" s="134"/>
      <c r="F434" s="134"/>
      <c r="G434" s="134"/>
      <c r="H434" s="134"/>
      <c r="I434" s="134"/>
    </row>
    <row r="435" ht="15.75" customHeight="1">
      <c r="A435" s="133"/>
      <c r="C435" s="134"/>
      <c r="D435" s="134"/>
      <c r="E435" s="134"/>
      <c r="F435" s="134"/>
      <c r="G435" s="134"/>
      <c r="H435" s="134"/>
      <c r="I435" s="134"/>
    </row>
    <row r="436" ht="15.75" customHeight="1">
      <c r="A436" s="133"/>
      <c r="C436" s="134"/>
      <c r="D436" s="134"/>
      <c r="E436" s="134"/>
      <c r="F436" s="134"/>
      <c r="G436" s="134"/>
      <c r="H436" s="134"/>
      <c r="I436" s="134"/>
    </row>
    <row r="437" ht="15.75" customHeight="1">
      <c r="A437" s="133"/>
      <c r="C437" s="134"/>
      <c r="D437" s="134"/>
      <c r="E437" s="134"/>
      <c r="F437" s="134"/>
      <c r="G437" s="134"/>
      <c r="H437" s="134"/>
      <c r="I437" s="134"/>
    </row>
    <row r="438" ht="15.75" customHeight="1">
      <c r="A438" s="133"/>
      <c r="C438" s="134"/>
      <c r="D438" s="134"/>
      <c r="E438" s="134"/>
      <c r="F438" s="134"/>
      <c r="G438" s="134"/>
      <c r="H438" s="134"/>
      <c r="I438" s="134"/>
    </row>
    <row r="439" ht="15.75" customHeight="1">
      <c r="A439" s="133"/>
      <c r="C439" s="134"/>
      <c r="D439" s="134"/>
      <c r="E439" s="134"/>
      <c r="F439" s="134"/>
      <c r="G439" s="134"/>
      <c r="H439" s="134"/>
      <c r="I439" s="134"/>
    </row>
    <row r="440" ht="15.75" customHeight="1">
      <c r="A440" s="133"/>
      <c r="C440" s="134"/>
      <c r="D440" s="134"/>
      <c r="E440" s="134"/>
      <c r="F440" s="134"/>
      <c r="G440" s="134"/>
      <c r="H440" s="134"/>
      <c r="I440" s="134"/>
    </row>
    <row r="441" ht="15.75" customHeight="1">
      <c r="A441" s="133"/>
      <c r="C441" s="134"/>
      <c r="D441" s="134"/>
      <c r="E441" s="134"/>
      <c r="F441" s="134"/>
      <c r="G441" s="134"/>
      <c r="H441" s="134"/>
      <c r="I441" s="134"/>
    </row>
    <row r="442" ht="15.75" customHeight="1">
      <c r="A442" s="133"/>
      <c r="C442" s="134"/>
      <c r="D442" s="134"/>
      <c r="E442" s="134"/>
      <c r="F442" s="134"/>
      <c r="G442" s="134"/>
      <c r="H442" s="134"/>
      <c r="I442" s="134"/>
    </row>
    <row r="443" ht="15.75" customHeight="1">
      <c r="A443" s="133"/>
      <c r="C443" s="134"/>
      <c r="D443" s="134"/>
      <c r="E443" s="134"/>
      <c r="F443" s="134"/>
      <c r="G443" s="134"/>
      <c r="H443" s="134"/>
      <c r="I443" s="134"/>
    </row>
    <row r="444" ht="15.75" customHeight="1">
      <c r="A444" s="133"/>
      <c r="C444" s="134"/>
      <c r="D444" s="134"/>
      <c r="E444" s="134"/>
      <c r="F444" s="134"/>
      <c r="G444" s="134"/>
      <c r="H444" s="134"/>
      <c r="I444" s="134"/>
    </row>
    <row r="445" ht="15.75" customHeight="1">
      <c r="A445" s="133"/>
      <c r="C445" s="134"/>
      <c r="D445" s="134"/>
      <c r="E445" s="134"/>
      <c r="F445" s="134"/>
      <c r="G445" s="134"/>
      <c r="H445" s="134"/>
      <c r="I445" s="134"/>
    </row>
    <row r="446" ht="15.75" customHeight="1">
      <c r="A446" s="133"/>
      <c r="C446" s="134"/>
      <c r="D446" s="134"/>
      <c r="E446" s="134"/>
      <c r="F446" s="134"/>
      <c r="G446" s="134"/>
      <c r="H446" s="134"/>
      <c r="I446" s="134"/>
    </row>
    <row r="447" ht="15.75" customHeight="1">
      <c r="A447" s="133"/>
      <c r="C447" s="134"/>
      <c r="D447" s="134"/>
      <c r="E447" s="134"/>
      <c r="F447" s="134"/>
      <c r="G447" s="134"/>
      <c r="H447" s="134"/>
      <c r="I447" s="134"/>
    </row>
    <row r="448" ht="15.75" customHeight="1">
      <c r="A448" s="133"/>
      <c r="C448" s="134"/>
      <c r="D448" s="134"/>
      <c r="E448" s="134"/>
      <c r="F448" s="134"/>
      <c r="G448" s="134"/>
      <c r="H448" s="134"/>
      <c r="I448" s="134"/>
    </row>
    <row r="449" ht="15.75" customHeight="1">
      <c r="A449" s="133"/>
      <c r="C449" s="134"/>
      <c r="D449" s="134"/>
      <c r="E449" s="134"/>
      <c r="F449" s="134"/>
      <c r="G449" s="134"/>
      <c r="H449" s="134"/>
      <c r="I449" s="134"/>
    </row>
    <row r="450" ht="15.75" customHeight="1">
      <c r="A450" s="133"/>
      <c r="C450" s="134"/>
      <c r="D450" s="134"/>
      <c r="E450" s="134"/>
      <c r="F450" s="134"/>
      <c r="G450" s="134"/>
      <c r="H450" s="134"/>
      <c r="I450" s="134"/>
    </row>
    <row r="451" ht="15.75" customHeight="1">
      <c r="A451" s="133"/>
      <c r="C451" s="134"/>
      <c r="D451" s="134"/>
      <c r="E451" s="134"/>
      <c r="F451" s="134"/>
      <c r="G451" s="134"/>
      <c r="H451" s="134"/>
      <c r="I451" s="134"/>
    </row>
    <row r="452" ht="15.75" customHeight="1">
      <c r="A452" s="133"/>
      <c r="C452" s="134"/>
      <c r="D452" s="134"/>
      <c r="E452" s="134"/>
      <c r="F452" s="134"/>
      <c r="G452" s="134"/>
      <c r="H452" s="134"/>
      <c r="I452" s="134"/>
    </row>
    <row r="453" ht="15.75" customHeight="1">
      <c r="A453" s="133"/>
      <c r="C453" s="134"/>
      <c r="D453" s="134"/>
      <c r="E453" s="134"/>
      <c r="F453" s="134"/>
      <c r="G453" s="134"/>
      <c r="H453" s="134"/>
      <c r="I453" s="134"/>
    </row>
    <row r="454" ht="15.75" customHeight="1">
      <c r="A454" s="133"/>
      <c r="C454" s="134"/>
      <c r="D454" s="134"/>
      <c r="E454" s="134"/>
      <c r="F454" s="134"/>
      <c r="G454" s="134"/>
      <c r="H454" s="134"/>
      <c r="I454" s="134"/>
    </row>
    <row r="455" ht="15.75" customHeight="1">
      <c r="A455" s="133"/>
      <c r="C455" s="134"/>
      <c r="D455" s="134"/>
      <c r="E455" s="134"/>
      <c r="F455" s="134"/>
      <c r="G455" s="134"/>
      <c r="H455" s="134"/>
      <c r="I455" s="134"/>
    </row>
    <row r="456" ht="15.75" customHeight="1">
      <c r="A456" s="133"/>
      <c r="C456" s="134"/>
      <c r="D456" s="134"/>
      <c r="E456" s="134"/>
      <c r="F456" s="134"/>
      <c r="G456" s="134"/>
      <c r="H456" s="134"/>
      <c r="I456" s="134"/>
    </row>
    <row r="457" ht="15.75" customHeight="1">
      <c r="A457" s="133"/>
      <c r="C457" s="134"/>
      <c r="D457" s="134"/>
      <c r="E457" s="134"/>
      <c r="F457" s="134"/>
      <c r="G457" s="134"/>
      <c r="H457" s="134"/>
      <c r="I457" s="134"/>
    </row>
    <row r="458" ht="15.75" customHeight="1">
      <c r="A458" s="133"/>
      <c r="C458" s="134"/>
      <c r="D458" s="134"/>
      <c r="E458" s="134"/>
      <c r="F458" s="134"/>
      <c r="G458" s="134"/>
      <c r="H458" s="134"/>
      <c r="I458" s="134"/>
    </row>
    <row r="459" ht="15.75" customHeight="1">
      <c r="A459" s="133"/>
      <c r="C459" s="134"/>
      <c r="D459" s="134"/>
      <c r="E459" s="134"/>
      <c r="F459" s="134"/>
      <c r="G459" s="134"/>
      <c r="H459" s="134"/>
      <c r="I459" s="134"/>
    </row>
    <row r="460" ht="15.75" customHeight="1">
      <c r="A460" s="133"/>
      <c r="C460" s="134"/>
      <c r="D460" s="134"/>
      <c r="E460" s="134"/>
      <c r="F460" s="134"/>
      <c r="G460" s="134"/>
      <c r="H460" s="134"/>
      <c r="I460" s="134"/>
    </row>
    <row r="461" ht="15.75" customHeight="1">
      <c r="A461" s="133"/>
      <c r="C461" s="134"/>
      <c r="D461" s="134"/>
      <c r="E461" s="134"/>
      <c r="F461" s="134"/>
      <c r="G461" s="134"/>
      <c r="H461" s="134"/>
      <c r="I461" s="134"/>
    </row>
    <row r="462" ht="15.75" customHeight="1">
      <c r="A462" s="133"/>
      <c r="C462" s="134"/>
      <c r="D462" s="134"/>
      <c r="E462" s="134"/>
      <c r="F462" s="134"/>
      <c r="G462" s="134"/>
      <c r="H462" s="134"/>
      <c r="I462" s="134"/>
    </row>
    <row r="463" ht="15.75" customHeight="1">
      <c r="A463" s="133"/>
      <c r="C463" s="134"/>
      <c r="D463" s="134"/>
      <c r="E463" s="134"/>
      <c r="F463" s="134"/>
      <c r="G463" s="134"/>
      <c r="H463" s="134"/>
      <c r="I463" s="134"/>
    </row>
    <row r="464" ht="15.75" customHeight="1">
      <c r="A464" s="133"/>
      <c r="C464" s="134"/>
      <c r="D464" s="134"/>
      <c r="E464" s="134"/>
      <c r="F464" s="134"/>
      <c r="G464" s="134"/>
      <c r="H464" s="134"/>
      <c r="I464" s="134"/>
    </row>
    <row r="465" ht="15.75" customHeight="1">
      <c r="A465" s="133"/>
      <c r="C465" s="134"/>
      <c r="D465" s="134"/>
      <c r="E465" s="134"/>
      <c r="F465" s="134"/>
      <c r="G465" s="134"/>
      <c r="H465" s="134"/>
      <c r="I465" s="134"/>
    </row>
    <row r="466" ht="15.75" customHeight="1">
      <c r="A466" s="133"/>
      <c r="C466" s="134"/>
      <c r="D466" s="134"/>
      <c r="E466" s="134"/>
      <c r="F466" s="134"/>
      <c r="G466" s="134"/>
      <c r="H466" s="134"/>
      <c r="I466" s="134"/>
    </row>
    <row r="467" ht="15.75" customHeight="1">
      <c r="A467" s="133"/>
      <c r="C467" s="134"/>
      <c r="D467" s="134"/>
      <c r="E467" s="134"/>
      <c r="F467" s="134"/>
      <c r="G467" s="134"/>
      <c r="H467" s="134"/>
      <c r="I467" s="134"/>
    </row>
    <row r="468" ht="15.75" customHeight="1">
      <c r="A468" s="133"/>
      <c r="C468" s="134"/>
      <c r="D468" s="134"/>
      <c r="E468" s="134"/>
      <c r="F468" s="134"/>
      <c r="G468" s="134"/>
      <c r="H468" s="134"/>
      <c r="I468" s="134"/>
    </row>
    <row r="469" ht="15.75" customHeight="1">
      <c r="A469" s="133"/>
      <c r="C469" s="134"/>
      <c r="D469" s="134"/>
      <c r="E469" s="134"/>
      <c r="F469" s="134"/>
      <c r="G469" s="134"/>
      <c r="H469" s="134"/>
      <c r="I469" s="134"/>
    </row>
    <row r="470" ht="15.75" customHeight="1">
      <c r="A470" s="133"/>
      <c r="C470" s="134"/>
      <c r="D470" s="134"/>
      <c r="E470" s="134"/>
      <c r="F470" s="134"/>
      <c r="G470" s="134"/>
      <c r="H470" s="134"/>
      <c r="I470" s="134"/>
    </row>
    <row r="471" ht="15.75" customHeight="1">
      <c r="A471" s="133"/>
      <c r="C471" s="134"/>
      <c r="D471" s="134"/>
      <c r="E471" s="134"/>
      <c r="F471" s="134"/>
      <c r="G471" s="134"/>
      <c r="H471" s="134"/>
      <c r="I471" s="134"/>
    </row>
    <row r="472" ht="15.75" customHeight="1">
      <c r="A472" s="133"/>
      <c r="C472" s="134"/>
      <c r="D472" s="134"/>
      <c r="E472" s="134"/>
      <c r="F472" s="134"/>
      <c r="G472" s="134"/>
      <c r="H472" s="134"/>
      <c r="I472" s="134"/>
    </row>
    <row r="473" ht="15.75" customHeight="1">
      <c r="A473" s="133"/>
      <c r="C473" s="134"/>
      <c r="D473" s="134"/>
      <c r="E473" s="134"/>
      <c r="F473" s="134"/>
      <c r="G473" s="134"/>
      <c r="H473" s="134"/>
      <c r="I473" s="134"/>
    </row>
    <row r="474" ht="15.75" customHeight="1">
      <c r="A474" s="133"/>
      <c r="C474" s="134"/>
      <c r="D474" s="134"/>
      <c r="E474" s="134"/>
      <c r="F474" s="134"/>
      <c r="G474" s="134"/>
      <c r="H474" s="134"/>
      <c r="I474" s="134"/>
    </row>
    <row r="475" ht="15.75" customHeight="1">
      <c r="A475" s="133"/>
      <c r="C475" s="134"/>
      <c r="D475" s="134"/>
      <c r="E475" s="134"/>
      <c r="F475" s="134"/>
      <c r="G475" s="134"/>
      <c r="H475" s="134"/>
      <c r="I475" s="134"/>
    </row>
    <row r="476" ht="15.75" customHeight="1">
      <c r="A476" s="133"/>
      <c r="C476" s="134"/>
      <c r="D476" s="134"/>
      <c r="E476" s="134"/>
      <c r="F476" s="134"/>
      <c r="G476" s="134"/>
      <c r="H476" s="134"/>
      <c r="I476" s="134"/>
    </row>
    <row r="477" ht="15.75" customHeight="1">
      <c r="A477" s="133"/>
      <c r="C477" s="134"/>
      <c r="D477" s="134"/>
      <c r="E477" s="134"/>
      <c r="F477" s="134"/>
      <c r="G477" s="134"/>
      <c r="H477" s="134"/>
      <c r="I477" s="134"/>
    </row>
    <row r="478" ht="15.75" customHeight="1">
      <c r="A478" s="133"/>
      <c r="C478" s="134"/>
      <c r="D478" s="134"/>
      <c r="E478" s="134"/>
      <c r="F478" s="134"/>
      <c r="G478" s="134"/>
      <c r="H478" s="134"/>
      <c r="I478" s="134"/>
    </row>
    <row r="479" ht="15.75" customHeight="1">
      <c r="A479" s="133"/>
      <c r="C479" s="134"/>
      <c r="D479" s="134"/>
      <c r="E479" s="134"/>
      <c r="F479" s="134"/>
      <c r="G479" s="134"/>
      <c r="H479" s="134"/>
      <c r="I479" s="134"/>
    </row>
    <row r="480" ht="15.75" customHeight="1">
      <c r="A480" s="133"/>
      <c r="C480" s="134"/>
      <c r="D480" s="134"/>
      <c r="E480" s="134"/>
      <c r="F480" s="134"/>
      <c r="G480" s="134"/>
      <c r="H480" s="134"/>
      <c r="I480" s="134"/>
    </row>
    <row r="481" ht="15.75" customHeight="1">
      <c r="A481" s="133"/>
      <c r="C481" s="134"/>
      <c r="D481" s="134"/>
      <c r="E481" s="134"/>
      <c r="F481" s="134"/>
      <c r="G481" s="134"/>
      <c r="H481" s="134"/>
      <c r="I481" s="134"/>
    </row>
    <row r="482" ht="15.75" customHeight="1">
      <c r="A482" s="133"/>
      <c r="C482" s="134"/>
      <c r="D482" s="134"/>
      <c r="E482" s="134"/>
      <c r="F482" s="134"/>
      <c r="G482" s="134"/>
      <c r="H482" s="134"/>
      <c r="I482" s="134"/>
    </row>
    <row r="483" ht="15.75" customHeight="1">
      <c r="A483" s="133"/>
      <c r="C483" s="134"/>
      <c r="D483" s="134"/>
      <c r="E483" s="134"/>
      <c r="F483" s="134"/>
      <c r="G483" s="134"/>
      <c r="H483" s="134"/>
      <c r="I483" s="134"/>
    </row>
    <row r="484" ht="15.75" customHeight="1">
      <c r="A484" s="133"/>
      <c r="C484" s="134"/>
      <c r="D484" s="134"/>
      <c r="E484" s="134"/>
      <c r="F484" s="134"/>
      <c r="G484" s="134"/>
      <c r="H484" s="134"/>
      <c r="I484" s="134"/>
    </row>
    <row r="485" ht="15.75" customHeight="1">
      <c r="A485" s="133"/>
      <c r="C485" s="134"/>
      <c r="D485" s="134"/>
      <c r="E485" s="134"/>
      <c r="F485" s="134"/>
      <c r="G485" s="134"/>
      <c r="H485" s="134"/>
      <c r="I485" s="134"/>
    </row>
    <row r="486" ht="15.75" customHeight="1">
      <c r="A486" s="133"/>
      <c r="C486" s="134"/>
      <c r="D486" s="134"/>
      <c r="E486" s="134"/>
      <c r="F486" s="134"/>
      <c r="G486" s="134"/>
      <c r="H486" s="134"/>
      <c r="I486" s="134"/>
    </row>
    <row r="487" ht="15.75" customHeight="1">
      <c r="A487" s="133"/>
      <c r="C487" s="134"/>
      <c r="D487" s="134"/>
      <c r="E487" s="134"/>
      <c r="F487" s="134"/>
      <c r="G487" s="134"/>
      <c r="H487" s="134"/>
      <c r="I487" s="134"/>
    </row>
    <row r="488" ht="15.75" customHeight="1">
      <c r="A488" s="133"/>
      <c r="C488" s="134"/>
      <c r="D488" s="134"/>
      <c r="E488" s="134"/>
      <c r="F488" s="134"/>
      <c r="G488" s="134"/>
      <c r="H488" s="134"/>
      <c r="I488" s="134"/>
    </row>
    <row r="489" ht="15.75" customHeight="1">
      <c r="A489" s="133"/>
      <c r="C489" s="134"/>
      <c r="D489" s="134"/>
      <c r="E489" s="134"/>
      <c r="F489" s="134"/>
      <c r="G489" s="134"/>
      <c r="H489" s="134"/>
      <c r="I489" s="134"/>
    </row>
    <row r="490" ht="15.75" customHeight="1">
      <c r="A490" s="133"/>
      <c r="C490" s="134"/>
      <c r="D490" s="134"/>
      <c r="E490" s="134"/>
      <c r="F490" s="134"/>
      <c r="G490" s="134"/>
      <c r="H490" s="134"/>
      <c r="I490" s="134"/>
    </row>
    <row r="491" ht="15.75" customHeight="1">
      <c r="A491" s="133"/>
      <c r="C491" s="134"/>
      <c r="D491" s="134"/>
      <c r="E491" s="134"/>
      <c r="F491" s="134"/>
      <c r="G491" s="134"/>
      <c r="H491" s="134"/>
      <c r="I491" s="134"/>
    </row>
    <row r="492" ht="15.75" customHeight="1">
      <c r="A492" s="133"/>
      <c r="C492" s="134"/>
      <c r="D492" s="134"/>
      <c r="E492" s="134"/>
      <c r="F492" s="134"/>
      <c r="G492" s="134"/>
      <c r="H492" s="134"/>
      <c r="I492" s="134"/>
    </row>
    <row r="493" ht="15.75" customHeight="1">
      <c r="A493" s="133"/>
      <c r="C493" s="134"/>
      <c r="D493" s="134"/>
      <c r="E493" s="134"/>
      <c r="F493" s="134"/>
      <c r="G493" s="134"/>
      <c r="H493" s="134"/>
      <c r="I493" s="134"/>
    </row>
    <row r="494" ht="15.75" customHeight="1">
      <c r="A494" s="133"/>
      <c r="C494" s="134"/>
      <c r="D494" s="134"/>
      <c r="E494" s="134"/>
      <c r="F494" s="134"/>
      <c r="G494" s="134"/>
      <c r="H494" s="134"/>
      <c r="I494" s="134"/>
    </row>
    <row r="495" ht="15.75" customHeight="1">
      <c r="A495" s="133"/>
      <c r="C495" s="134"/>
      <c r="D495" s="134"/>
      <c r="E495" s="134"/>
      <c r="F495" s="134"/>
      <c r="G495" s="134"/>
      <c r="H495" s="134"/>
      <c r="I495" s="134"/>
    </row>
    <row r="496" ht="15.75" customHeight="1">
      <c r="A496" s="133"/>
      <c r="C496" s="134"/>
      <c r="D496" s="134"/>
      <c r="E496" s="134"/>
      <c r="F496" s="134"/>
      <c r="G496" s="134"/>
      <c r="H496" s="134"/>
      <c r="I496" s="134"/>
    </row>
    <row r="497" ht="15.75" customHeight="1">
      <c r="A497" s="133"/>
      <c r="C497" s="134"/>
      <c r="D497" s="134"/>
      <c r="E497" s="134"/>
      <c r="F497" s="134"/>
      <c r="G497" s="134"/>
      <c r="H497" s="134"/>
      <c r="I497" s="134"/>
    </row>
    <row r="498" ht="15.75" customHeight="1">
      <c r="A498" s="133"/>
      <c r="C498" s="134"/>
      <c r="D498" s="134"/>
      <c r="E498" s="134"/>
      <c r="F498" s="134"/>
      <c r="G498" s="134"/>
      <c r="H498" s="134"/>
      <c r="I498" s="134"/>
    </row>
    <row r="499" ht="15.75" customHeight="1">
      <c r="A499" s="133"/>
      <c r="C499" s="134"/>
      <c r="D499" s="134"/>
      <c r="E499" s="134"/>
      <c r="F499" s="134"/>
      <c r="G499" s="134"/>
      <c r="H499" s="134"/>
      <c r="I499" s="134"/>
    </row>
    <row r="500" ht="15.75" customHeight="1">
      <c r="A500" s="133"/>
      <c r="C500" s="134"/>
      <c r="D500" s="134"/>
      <c r="E500" s="134"/>
      <c r="F500" s="134"/>
      <c r="G500" s="134"/>
      <c r="H500" s="134"/>
      <c r="I500" s="134"/>
    </row>
    <row r="501" ht="15.75" customHeight="1">
      <c r="A501" s="133"/>
      <c r="C501" s="134"/>
      <c r="D501" s="134"/>
      <c r="E501" s="134"/>
      <c r="F501" s="134"/>
      <c r="G501" s="134"/>
      <c r="H501" s="134"/>
      <c r="I501" s="134"/>
    </row>
    <row r="502" ht="15.75" customHeight="1">
      <c r="A502" s="133"/>
      <c r="C502" s="134"/>
      <c r="D502" s="134"/>
      <c r="E502" s="134"/>
      <c r="F502" s="134"/>
      <c r="G502" s="134"/>
      <c r="H502" s="134"/>
      <c r="I502" s="134"/>
    </row>
    <row r="503" ht="15.75" customHeight="1">
      <c r="A503" s="133"/>
      <c r="C503" s="134"/>
      <c r="D503" s="134"/>
      <c r="E503" s="134"/>
      <c r="F503" s="134"/>
      <c r="G503" s="134"/>
      <c r="H503" s="134"/>
      <c r="I503" s="134"/>
    </row>
    <row r="504" ht="15.75" customHeight="1">
      <c r="A504" s="133"/>
      <c r="C504" s="134"/>
      <c r="D504" s="134"/>
      <c r="E504" s="134"/>
      <c r="F504" s="134"/>
      <c r="G504" s="134"/>
      <c r="H504" s="134"/>
      <c r="I504" s="134"/>
    </row>
    <row r="505" ht="15.75" customHeight="1">
      <c r="A505" s="133"/>
      <c r="C505" s="134"/>
      <c r="D505" s="134"/>
      <c r="E505" s="134"/>
      <c r="F505" s="134"/>
      <c r="G505" s="134"/>
      <c r="H505" s="134"/>
      <c r="I505" s="134"/>
    </row>
    <row r="506" ht="15.75" customHeight="1">
      <c r="A506" s="133"/>
      <c r="C506" s="134"/>
      <c r="D506" s="134"/>
      <c r="E506" s="134"/>
      <c r="F506" s="134"/>
      <c r="G506" s="134"/>
      <c r="H506" s="134"/>
      <c r="I506" s="134"/>
    </row>
    <row r="507" ht="15.75" customHeight="1">
      <c r="A507" s="133"/>
      <c r="C507" s="134"/>
      <c r="D507" s="134"/>
      <c r="E507" s="134"/>
      <c r="F507" s="134"/>
      <c r="G507" s="134"/>
      <c r="H507" s="134"/>
      <c r="I507" s="134"/>
    </row>
    <row r="508" ht="15.75" customHeight="1">
      <c r="A508" s="133"/>
      <c r="C508" s="134"/>
      <c r="D508" s="134"/>
      <c r="E508" s="134"/>
      <c r="F508" s="134"/>
      <c r="G508" s="134"/>
      <c r="H508" s="134"/>
      <c r="I508" s="134"/>
    </row>
    <row r="509" ht="15.75" customHeight="1">
      <c r="A509" s="133"/>
      <c r="C509" s="134"/>
      <c r="D509" s="134"/>
      <c r="E509" s="134"/>
      <c r="F509" s="134"/>
      <c r="G509" s="134"/>
      <c r="H509" s="134"/>
      <c r="I509" s="134"/>
    </row>
    <row r="510" ht="15.75" customHeight="1">
      <c r="A510" s="133"/>
      <c r="C510" s="134"/>
      <c r="D510" s="134"/>
      <c r="E510" s="134"/>
      <c r="F510" s="134"/>
      <c r="G510" s="134"/>
      <c r="H510" s="134"/>
      <c r="I510" s="134"/>
    </row>
    <row r="511" ht="15.75" customHeight="1">
      <c r="A511" s="133"/>
      <c r="C511" s="134"/>
      <c r="D511" s="134"/>
      <c r="E511" s="134"/>
      <c r="F511" s="134"/>
      <c r="G511" s="134"/>
      <c r="H511" s="134"/>
      <c r="I511" s="134"/>
    </row>
    <row r="512" ht="15.75" customHeight="1">
      <c r="A512" s="133"/>
      <c r="C512" s="134"/>
      <c r="D512" s="134"/>
      <c r="E512" s="134"/>
      <c r="F512" s="134"/>
      <c r="G512" s="134"/>
      <c r="H512" s="134"/>
      <c r="I512" s="134"/>
    </row>
    <row r="513" ht="15.75" customHeight="1">
      <c r="A513" s="133"/>
      <c r="C513" s="134"/>
      <c r="D513" s="134"/>
      <c r="E513" s="134"/>
      <c r="F513" s="134"/>
      <c r="G513" s="134"/>
      <c r="H513" s="134"/>
      <c r="I513" s="134"/>
    </row>
    <row r="514" ht="15.75" customHeight="1">
      <c r="A514" s="133"/>
      <c r="C514" s="134"/>
      <c r="D514" s="134"/>
      <c r="E514" s="134"/>
      <c r="F514" s="134"/>
      <c r="G514" s="134"/>
      <c r="H514" s="134"/>
      <c r="I514" s="134"/>
    </row>
    <row r="515" ht="15.75" customHeight="1">
      <c r="A515" s="133"/>
      <c r="C515" s="134"/>
      <c r="D515" s="134"/>
      <c r="E515" s="134"/>
      <c r="F515" s="134"/>
      <c r="G515" s="134"/>
      <c r="H515" s="134"/>
      <c r="I515" s="134"/>
    </row>
    <row r="516" ht="15.75" customHeight="1">
      <c r="A516" s="133"/>
      <c r="C516" s="134"/>
      <c r="D516" s="134"/>
      <c r="E516" s="134"/>
      <c r="F516" s="134"/>
      <c r="G516" s="134"/>
      <c r="H516" s="134"/>
      <c r="I516" s="134"/>
    </row>
    <row r="517" ht="15.75" customHeight="1">
      <c r="A517" s="133"/>
      <c r="C517" s="134"/>
      <c r="D517" s="134"/>
      <c r="E517" s="134"/>
      <c r="F517" s="134"/>
      <c r="G517" s="134"/>
      <c r="H517" s="134"/>
      <c r="I517" s="134"/>
    </row>
    <row r="518" ht="15.75" customHeight="1">
      <c r="A518" s="133"/>
      <c r="C518" s="134"/>
      <c r="D518" s="134"/>
      <c r="E518" s="134"/>
      <c r="F518" s="134"/>
      <c r="G518" s="134"/>
      <c r="H518" s="134"/>
      <c r="I518" s="134"/>
    </row>
    <row r="519" ht="15.75" customHeight="1">
      <c r="A519" s="133"/>
      <c r="C519" s="134"/>
      <c r="D519" s="134"/>
      <c r="E519" s="134"/>
      <c r="F519" s="134"/>
      <c r="G519" s="134"/>
      <c r="H519" s="134"/>
      <c r="I519" s="134"/>
    </row>
    <row r="520" ht="15.75" customHeight="1">
      <c r="A520" s="133"/>
      <c r="C520" s="134"/>
      <c r="D520" s="134"/>
      <c r="E520" s="134"/>
      <c r="F520" s="134"/>
      <c r="G520" s="134"/>
      <c r="H520" s="134"/>
      <c r="I520" s="134"/>
    </row>
    <row r="521" ht="15.75" customHeight="1">
      <c r="A521" s="133"/>
      <c r="C521" s="134"/>
      <c r="D521" s="134"/>
      <c r="E521" s="134"/>
      <c r="F521" s="134"/>
      <c r="G521" s="134"/>
      <c r="H521" s="134"/>
      <c r="I521" s="134"/>
    </row>
    <row r="522" ht="15.75" customHeight="1">
      <c r="A522" s="133"/>
      <c r="C522" s="134"/>
      <c r="D522" s="134"/>
      <c r="E522" s="134"/>
      <c r="F522" s="134"/>
      <c r="G522" s="134"/>
      <c r="H522" s="134"/>
      <c r="I522" s="134"/>
    </row>
    <row r="523" ht="15.75" customHeight="1">
      <c r="A523" s="133"/>
      <c r="C523" s="134"/>
      <c r="D523" s="134"/>
      <c r="E523" s="134"/>
      <c r="F523" s="134"/>
      <c r="G523" s="134"/>
      <c r="H523" s="134"/>
      <c r="I523" s="134"/>
    </row>
    <row r="524" ht="15.75" customHeight="1">
      <c r="A524" s="133"/>
      <c r="C524" s="134"/>
      <c r="D524" s="134"/>
      <c r="E524" s="134"/>
      <c r="F524" s="134"/>
      <c r="G524" s="134"/>
      <c r="H524" s="134"/>
      <c r="I524" s="134"/>
    </row>
    <row r="525" ht="15.75" customHeight="1">
      <c r="A525" s="133"/>
      <c r="C525" s="134"/>
      <c r="D525" s="134"/>
      <c r="E525" s="134"/>
      <c r="F525" s="134"/>
      <c r="G525" s="134"/>
      <c r="H525" s="134"/>
      <c r="I525" s="134"/>
    </row>
    <row r="526" ht="15.75" customHeight="1">
      <c r="A526" s="133"/>
      <c r="C526" s="134"/>
      <c r="D526" s="134"/>
      <c r="E526" s="134"/>
      <c r="F526" s="134"/>
      <c r="G526" s="134"/>
      <c r="H526" s="134"/>
      <c r="I526" s="134"/>
    </row>
    <row r="527" ht="15.75" customHeight="1">
      <c r="A527" s="133"/>
      <c r="C527" s="134"/>
      <c r="D527" s="134"/>
      <c r="E527" s="134"/>
      <c r="F527" s="134"/>
      <c r="G527" s="134"/>
      <c r="H527" s="134"/>
      <c r="I527" s="134"/>
    </row>
    <row r="528" ht="15.75" customHeight="1">
      <c r="A528" s="133"/>
      <c r="C528" s="134"/>
      <c r="D528" s="134"/>
      <c r="E528" s="134"/>
      <c r="F528" s="134"/>
      <c r="G528" s="134"/>
      <c r="H528" s="134"/>
      <c r="I528" s="134"/>
    </row>
    <row r="529" ht="15.75" customHeight="1">
      <c r="A529" s="133"/>
      <c r="C529" s="134"/>
      <c r="D529" s="134"/>
      <c r="E529" s="134"/>
      <c r="F529" s="134"/>
      <c r="G529" s="134"/>
      <c r="H529" s="134"/>
      <c r="I529" s="134"/>
    </row>
    <row r="530" ht="15.75" customHeight="1">
      <c r="A530" s="133"/>
      <c r="C530" s="134"/>
      <c r="D530" s="134"/>
      <c r="E530" s="134"/>
      <c r="F530" s="134"/>
      <c r="G530" s="134"/>
      <c r="H530" s="134"/>
      <c r="I530" s="134"/>
    </row>
    <row r="531" ht="15.75" customHeight="1">
      <c r="A531" s="133"/>
      <c r="C531" s="134"/>
      <c r="D531" s="134"/>
      <c r="E531" s="134"/>
      <c r="F531" s="134"/>
      <c r="G531" s="134"/>
      <c r="H531" s="134"/>
      <c r="I531" s="134"/>
    </row>
    <row r="532" ht="15.75" customHeight="1">
      <c r="A532" s="133"/>
      <c r="C532" s="134"/>
      <c r="D532" s="134"/>
      <c r="E532" s="134"/>
      <c r="F532" s="134"/>
      <c r="G532" s="134"/>
      <c r="H532" s="134"/>
      <c r="I532" s="134"/>
    </row>
    <row r="533" ht="15.75" customHeight="1">
      <c r="A533" s="133"/>
      <c r="C533" s="134"/>
      <c r="D533" s="134"/>
      <c r="E533" s="134"/>
      <c r="F533" s="134"/>
      <c r="G533" s="134"/>
      <c r="H533" s="134"/>
      <c r="I533" s="134"/>
    </row>
    <row r="534" ht="15.75" customHeight="1">
      <c r="A534" s="133"/>
      <c r="C534" s="134"/>
      <c r="D534" s="134"/>
      <c r="E534" s="134"/>
      <c r="F534" s="134"/>
      <c r="G534" s="134"/>
      <c r="H534" s="134"/>
      <c r="I534" s="134"/>
    </row>
    <row r="535" ht="15.75" customHeight="1">
      <c r="A535" s="133"/>
      <c r="C535" s="134"/>
      <c r="D535" s="134"/>
      <c r="E535" s="134"/>
      <c r="F535" s="134"/>
      <c r="G535" s="134"/>
      <c r="H535" s="134"/>
      <c r="I535" s="134"/>
    </row>
    <row r="536" ht="15.75" customHeight="1">
      <c r="A536" s="133"/>
      <c r="C536" s="134"/>
      <c r="D536" s="134"/>
      <c r="E536" s="134"/>
      <c r="F536" s="134"/>
      <c r="G536" s="134"/>
      <c r="H536" s="134"/>
      <c r="I536" s="134"/>
    </row>
    <row r="537" ht="15.75" customHeight="1">
      <c r="A537" s="133"/>
      <c r="C537" s="134"/>
      <c r="D537" s="134"/>
      <c r="E537" s="134"/>
      <c r="F537" s="134"/>
      <c r="G537" s="134"/>
      <c r="H537" s="134"/>
      <c r="I537" s="134"/>
    </row>
    <row r="538" ht="15.75" customHeight="1">
      <c r="A538" s="133"/>
      <c r="C538" s="134"/>
      <c r="D538" s="134"/>
      <c r="E538" s="134"/>
      <c r="F538" s="134"/>
      <c r="G538" s="134"/>
      <c r="H538" s="134"/>
      <c r="I538" s="134"/>
    </row>
    <row r="539" ht="15.75" customHeight="1">
      <c r="A539" s="133"/>
      <c r="C539" s="134"/>
      <c r="D539" s="134"/>
      <c r="E539" s="134"/>
      <c r="F539" s="134"/>
      <c r="G539" s="134"/>
      <c r="H539" s="134"/>
      <c r="I539" s="134"/>
    </row>
    <row r="540" ht="15.75" customHeight="1">
      <c r="A540" s="133"/>
      <c r="C540" s="134"/>
      <c r="D540" s="134"/>
      <c r="E540" s="134"/>
      <c r="F540" s="134"/>
      <c r="G540" s="134"/>
      <c r="H540" s="134"/>
      <c r="I540" s="134"/>
    </row>
    <row r="541" ht="15.75" customHeight="1">
      <c r="A541" s="133"/>
      <c r="C541" s="134"/>
      <c r="D541" s="134"/>
      <c r="E541" s="134"/>
      <c r="F541" s="134"/>
      <c r="G541" s="134"/>
      <c r="H541" s="134"/>
      <c r="I541" s="134"/>
    </row>
    <row r="542" ht="15.75" customHeight="1">
      <c r="A542" s="133"/>
      <c r="C542" s="134"/>
      <c r="D542" s="134"/>
      <c r="E542" s="134"/>
      <c r="F542" s="134"/>
      <c r="G542" s="134"/>
      <c r="H542" s="134"/>
      <c r="I542" s="134"/>
    </row>
    <row r="543" ht="15.75" customHeight="1">
      <c r="A543" s="133"/>
      <c r="C543" s="134"/>
      <c r="D543" s="134"/>
      <c r="E543" s="134"/>
      <c r="F543" s="134"/>
      <c r="G543" s="134"/>
      <c r="H543" s="134"/>
      <c r="I543" s="134"/>
    </row>
    <row r="544" ht="15.75" customHeight="1">
      <c r="A544" s="133"/>
      <c r="C544" s="134"/>
      <c r="D544" s="134"/>
      <c r="E544" s="134"/>
      <c r="F544" s="134"/>
      <c r="G544" s="134"/>
      <c r="H544" s="134"/>
      <c r="I544" s="134"/>
    </row>
    <row r="545" ht="15.75" customHeight="1">
      <c r="A545" s="133"/>
      <c r="C545" s="134"/>
      <c r="D545" s="134"/>
      <c r="E545" s="134"/>
      <c r="F545" s="134"/>
      <c r="G545" s="134"/>
      <c r="H545" s="134"/>
      <c r="I545" s="134"/>
    </row>
    <row r="546" ht="15.75" customHeight="1">
      <c r="A546" s="133"/>
      <c r="C546" s="134"/>
      <c r="D546" s="134"/>
      <c r="E546" s="134"/>
      <c r="F546" s="134"/>
      <c r="G546" s="134"/>
      <c r="H546" s="134"/>
      <c r="I546" s="134"/>
    </row>
    <row r="547" ht="15.75" customHeight="1">
      <c r="A547" s="133"/>
      <c r="C547" s="134"/>
      <c r="D547" s="134"/>
      <c r="E547" s="134"/>
      <c r="F547" s="134"/>
      <c r="G547" s="134"/>
      <c r="H547" s="134"/>
      <c r="I547" s="134"/>
    </row>
    <row r="548" ht="15.75" customHeight="1">
      <c r="A548" s="133"/>
      <c r="C548" s="134"/>
      <c r="D548" s="134"/>
      <c r="E548" s="134"/>
      <c r="F548" s="134"/>
      <c r="G548" s="134"/>
      <c r="H548" s="134"/>
      <c r="I548" s="134"/>
    </row>
    <row r="549" ht="15.75" customHeight="1">
      <c r="A549" s="133"/>
      <c r="C549" s="134"/>
      <c r="D549" s="134"/>
      <c r="E549" s="134"/>
      <c r="F549" s="134"/>
      <c r="G549" s="134"/>
      <c r="H549" s="134"/>
      <c r="I549" s="134"/>
    </row>
    <row r="550" ht="15.75" customHeight="1">
      <c r="A550" s="133"/>
      <c r="C550" s="134"/>
      <c r="D550" s="134"/>
      <c r="E550" s="134"/>
      <c r="F550" s="134"/>
      <c r="G550" s="134"/>
      <c r="H550" s="134"/>
      <c r="I550" s="134"/>
    </row>
    <row r="551" ht="15.75" customHeight="1">
      <c r="A551" s="133"/>
      <c r="C551" s="134"/>
      <c r="D551" s="134"/>
      <c r="E551" s="134"/>
      <c r="F551" s="134"/>
      <c r="G551" s="134"/>
      <c r="H551" s="134"/>
      <c r="I551" s="134"/>
    </row>
    <row r="552" ht="15.75" customHeight="1">
      <c r="A552" s="133"/>
      <c r="C552" s="134"/>
      <c r="D552" s="134"/>
      <c r="E552" s="134"/>
      <c r="F552" s="134"/>
      <c r="G552" s="134"/>
      <c r="H552" s="134"/>
      <c r="I552" s="134"/>
    </row>
    <row r="553" ht="15.75" customHeight="1">
      <c r="A553" s="133"/>
      <c r="C553" s="134"/>
      <c r="D553" s="134"/>
      <c r="E553" s="134"/>
      <c r="F553" s="134"/>
      <c r="G553" s="134"/>
      <c r="H553" s="134"/>
      <c r="I553" s="134"/>
    </row>
    <row r="554" ht="15.75" customHeight="1">
      <c r="A554" s="133"/>
      <c r="C554" s="134"/>
      <c r="D554" s="134"/>
      <c r="E554" s="134"/>
      <c r="F554" s="134"/>
      <c r="G554" s="134"/>
      <c r="H554" s="134"/>
      <c r="I554" s="134"/>
    </row>
    <row r="555" ht="15.75" customHeight="1">
      <c r="A555" s="133"/>
      <c r="C555" s="134"/>
      <c r="D555" s="134"/>
      <c r="E555" s="134"/>
      <c r="F555" s="134"/>
      <c r="G555" s="134"/>
      <c r="H555" s="134"/>
      <c r="I555" s="134"/>
    </row>
    <row r="556" ht="15.75" customHeight="1">
      <c r="A556" s="133"/>
      <c r="C556" s="134"/>
      <c r="D556" s="134"/>
      <c r="E556" s="134"/>
      <c r="F556" s="134"/>
      <c r="G556" s="134"/>
      <c r="H556" s="134"/>
      <c r="I556" s="134"/>
    </row>
    <row r="557" ht="15.75" customHeight="1">
      <c r="A557" s="133"/>
      <c r="C557" s="134"/>
      <c r="D557" s="134"/>
      <c r="E557" s="134"/>
      <c r="F557" s="134"/>
      <c r="G557" s="134"/>
      <c r="H557" s="134"/>
      <c r="I557" s="134"/>
    </row>
    <row r="558" ht="15.75" customHeight="1">
      <c r="A558" s="133"/>
      <c r="C558" s="134"/>
      <c r="D558" s="134"/>
      <c r="E558" s="134"/>
      <c r="F558" s="134"/>
      <c r="G558" s="134"/>
      <c r="H558" s="134"/>
      <c r="I558" s="134"/>
    </row>
    <row r="559" ht="15.75" customHeight="1">
      <c r="A559" s="133"/>
      <c r="C559" s="134"/>
      <c r="D559" s="134"/>
      <c r="E559" s="134"/>
      <c r="F559" s="134"/>
      <c r="G559" s="134"/>
      <c r="H559" s="134"/>
      <c r="I559" s="134"/>
    </row>
    <row r="560" ht="15.75" customHeight="1">
      <c r="A560" s="133"/>
      <c r="C560" s="134"/>
      <c r="D560" s="134"/>
      <c r="E560" s="134"/>
      <c r="F560" s="134"/>
      <c r="G560" s="134"/>
      <c r="H560" s="134"/>
      <c r="I560" s="134"/>
    </row>
    <row r="561" ht="15.75" customHeight="1">
      <c r="A561" s="133"/>
      <c r="C561" s="134"/>
      <c r="D561" s="134"/>
      <c r="E561" s="134"/>
      <c r="F561" s="134"/>
      <c r="G561" s="134"/>
      <c r="H561" s="134"/>
      <c r="I561" s="134"/>
    </row>
    <row r="562" ht="15.75" customHeight="1">
      <c r="A562" s="133"/>
      <c r="C562" s="134"/>
      <c r="D562" s="134"/>
      <c r="E562" s="134"/>
      <c r="F562" s="134"/>
      <c r="G562" s="134"/>
      <c r="H562" s="134"/>
      <c r="I562" s="134"/>
    </row>
    <row r="563" ht="15.75" customHeight="1">
      <c r="A563" s="133"/>
      <c r="C563" s="134"/>
      <c r="D563" s="134"/>
      <c r="E563" s="134"/>
      <c r="F563" s="134"/>
      <c r="G563" s="134"/>
      <c r="H563" s="134"/>
      <c r="I563" s="134"/>
    </row>
    <row r="564" ht="15.75" customHeight="1">
      <c r="A564" s="133"/>
      <c r="C564" s="134"/>
      <c r="D564" s="134"/>
      <c r="E564" s="134"/>
      <c r="F564" s="134"/>
      <c r="G564" s="134"/>
      <c r="H564" s="134"/>
      <c r="I564" s="134"/>
    </row>
    <row r="565" ht="15.75" customHeight="1">
      <c r="A565" s="133"/>
      <c r="C565" s="134"/>
      <c r="D565" s="134"/>
      <c r="E565" s="134"/>
      <c r="F565" s="134"/>
      <c r="G565" s="134"/>
      <c r="H565" s="134"/>
      <c r="I565" s="134"/>
    </row>
    <row r="566" ht="15.75" customHeight="1">
      <c r="A566" s="133"/>
      <c r="C566" s="134"/>
      <c r="D566" s="134"/>
      <c r="E566" s="134"/>
      <c r="F566" s="134"/>
      <c r="G566" s="134"/>
      <c r="H566" s="134"/>
      <c r="I566" s="134"/>
    </row>
    <row r="567" ht="15.75" customHeight="1">
      <c r="A567" s="133"/>
      <c r="C567" s="134"/>
      <c r="D567" s="134"/>
      <c r="E567" s="134"/>
      <c r="F567" s="134"/>
      <c r="G567" s="134"/>
      <c r="H567" s="134"/>
      <c r="I567" s="134"/>
    </row>
    <row r="568" ht="15.75" customHeight="1">
      <c r="A568" s="133"/>
      <c r="C568" s="134"/>
      <c r="D568" s="134"/>
      <c r="E568" s="134"/>
      <c r="F568" s="134"/>
      <c r="G568" s="134"/>
      <c r="H568" s="134"/>
      <c r="I568" s="134"/>
    </row>
    <row r="569" ht="15.75" customHeight="1">
      <c r="A569" s="133"/>
      <c r="C569" s="134"/>
      <c r="D569" s="134"/>
      <c r="E569" s="134"/>
      <c r="F569" s="134"/>
      <c r="G569" s="134"/>
      <c r="H569" s="134"/>
      <c r="I569" s="134"/>
    </row>
    <row r="570" ht="15.75" customHeight="1">
      <c r="A570" s="133"/>
      <c r="C570" s="134"/>
      <c r="D570" s="134"/>
      <c r="E570" s="134"/>
      <c r="F570" s="134"/>
      <c r="G570" s="134"/>
      <c r="H570" s="134"/>
      <c r="I570" s="134"/>
    </row>
    <row r="571" ht="15.75" customHeight="1">
      <c r="A571" s="133"/>
      <c r="C571" s="134"/>
      <c r="D571" s="134"/>
      <c r="E571" s="134"/>
      <c r="F571" s="134"/>
      <c r="G571" s="134"/>
      <c r="H571" s="134"/>
      <c r="I571" s="134"/>
    </row>
    <row r="572" ht="15.75" customHeight="1">
      <c r="A572" s="133"/>
      <c r="C572" s="134"/>
      <c r="D572" s="134"/>
      <c r="E572" s="134"/>
      <c r="F572" s="134"/>
      <c r="G572" s="134"/>
      <c r="H572" s="134"/>
      <c r="I572" s="134"/>
    </row>
    <row r="573" ht="15.75" customHeight="1">
      <c r="A573" s="133"/>
      <c r="C573" s="134"/>
      <c r="D573" s="134"/>
      <c r="E573" s="134"/>
      <c r="F573" s="134"/>
      <c r="G573" s="134"/>
      <c r="H573" s="134"/>
      <c r="I573" s="134"/>
    </row>
    <row r="574" ht="15.75" customHeight="1">
      <c r="A574" s="133"/>
      <c r="C574" s="134"/>
      <c r="D574" s="134"/>
      <c r="E574" s="134"/>
      <c r="F574" s="134"/>
      <c r="G574" s="134"/>
      <c r="H574" s="134"/>
      <c r="I574" s="134"/>
    </row>
    <row r="575" ht="15.75" customHeight="1">
      <c r="A575" s="133"/>
      <c r="C575" s="134"/>
      <c r="D575" s="134"/>
      <c r="E575" s="134"/>
      <c r="F575" s="134"/>
      <c r="G575" s="134"/>
      <c r="H575" s="134"/>
      <c r="I575" s="134"/>
    </row>
    <row r="576" ht="15.75" customHeight="1">
      <c r="A576" s="133"/>
      <c r="C576" s="134"/>
      <c r="D576" s="134"/>
      <c r="E576" s="134"/>
      <c r="F576" s="134"/>
      <c r="G576" s="134"/>
      <c r="H576" s="134"/>
      <c r="I576" s="134"/>
    </row>
    <row r="577" ht="15.75" customHeight="1">
      <c r="A577" s="133"/>
      <c r="C577" s="134"/>
      <c r="D577" s="134"/>
      <c r="E577" s="134"/>
      <c r="F577" s="134"/>
      <c r="G577" s="134"/>
      <c r="H577" s="134"/>
      <c r="I577" s="134"/>
    </row>
    <row r="578" ht="15.75" customHeight="1">
      <c r="A578" s="133"/>
      <c r="C578" s="134"/>
      <c r="D578" s="134"/>
      <c r="E578" s="134"/>
      <c r="F578" s="134"/>
      <c r="G578" s="134"/>
      <c r="H578" s="134"/>
      <c r="I578" s="134"/>
    </row>
    <row r="579" ht="15.75" customHeight="1">
      <c r="A579" s="133"/>
      <c r="C579" s="134"/>
      <c r="D579" s="134"/>
      <c r="E579" s="134"/>
      <c r="F579" s="134"/>
      <c r="G579" s="134"/>
      <c r="H579" s="134"/>
      <c r="I579" s="134"/>
    </row>
    <row r="580" ht="15.75" customHeight="1">
      <c r="A580" s="133"/>
      <c r="C580" s="134"/>
      <c r="D580" s="134"/>
      <c r="E580" s="134"/>
      <c r="F580" s="134"/>
      <c r="G580" s="134"/>
      <c r="H580" s="134"/>
      <c r="I580" s="134"/>
    </row>
    <row r="581" ht="15.75" customHeight="1">
      <c r="A581" s="133"/>
      <c r="C581" s="134"/>
      <c r="D581" s="134"/>
      <c r="E581" s="134"/>
      <c r="F581" s="134"/>
      <c r="G581" s="134"/>
      <c r="H581" s="134"/>
      <c r="I581" s="134"/>
    </row>
    <row r="582" ht="15.75" customHeight="1">
      <c r="A582" s="133"/>
      <c r="C582" s="134"/>
      <c r="D582" s="134"/>
      <c r="E582" s="134"/>
      <c r="F582" s="134"/>
      <c r="G582" s="134"/>
      <c r="H582" s="134"/>
      <c r="I582" s="134"/>
    </row>
    <row r="583" ht="15.75" customHeight="1">
      <c r="A583" s="133"/>
      <c r="C583" s="134"/>
      <c r="D583" s="134"/>
      <c r="E583" s="134"/>
      <c r="F583" s="134"/>
      <c r="G583" s="134"/>
      <c r="H583" s="134"/>
      <c r="I583" s="134"/>
    </row>
    <row r="584" ht="15.75" customHeight="1">
      <c r="A584" s="133"/>
      <c r="C584" s="134"/>
      <c r="D584" s="134"/>
      <c r="E584" s="134"/>
      <c r="F584" s="134"/>
      <c r="G584" s="134"/>
      <c r="H584" s="134"/>
      <c r="I584" s="134"/>
    </row>
    <row r="585" ht="15.75" customHeight="1">
      <c r="A585" s="133"/>
      <c r="C585" s="134"/>
      <c r="D585" s="134"/>
      <c r="E585" s="134"/>
      <c r="F585" s="134"/>
      <c r="G585" s="134"/>
      <c r="H585" s="134"/>
      <c r="I585" s="134"/>
    </row>
    <row r="586" ht="15.75" customHeight="1">
      <c r="A586" s="133"/>
      <c r="C586" s="134"/>
      <c r="D586" s="134"/>
      <c r="E586" s="134"/>
      <c r="F586" s="134"/>
      <c r="G586" s="134"/>
      <c r="H586" s="134"/>
      <c r="I586" s="134"/>
    </row>
    <row r="587" ht="15.75" customHeight="1">
      <c r="A587" s="133"/>
      <c r="C587" s="134"/>
      <c r="D587" s="134"/>
      <c r="E587" s="134"/>
      <c r="F587" s="134"/>
      <c r="G587" s="134"/>
      <c r="H587" s="134"/>
      <c r="I587" s="134"/>
    </row>
    <row r="588" ht="15.75" customHeight="1">
      <c r="A588" s="133"/>
      <c r="C588" s="134"/>
      <c r="D588" s="134"/>
      <c r="E588" s="134"/>
      <c r="F588" s="134"/>
      <c r="G588" s="134"/>
      <c r="H588" s="134"/>
      <c r="I588" s="134"/>
    </row>
    <row r="589" ht="15.75" customHeight="1">
      <c r="A589" s="133"/>
      <c r="C589" s="134"/>
      <c r="D589" s="134"/>
      <c r="E589" s="134"/>
      <c r="F589" s="134"/>
      <c r="G589" s="134"/>
      <c r="H589" s="134"/>
      <c r="I589" s="134"/>
    </row>
    <row r="590" ht="15.75" customHeight="1">
      <c r="A590" s="133"/>
      <c r="C590" s="134"/>
      <c r="D590" s="134"/>
      <c r="E590" s="134"/>
      <c r="F590" s="134"/>
      <c r="G590" s="134"/>
      <c r="H590" s="134"/>
      <c r="I590" s="134"/>
    </row>
    <row r="591" ht="15.75" customHeight="1">
      <c r="A591" s="133"/>
      <c r="C591" s="134"/>
      <c r="D591" s="134"/>
      <c r="E591" s="134"/>
      <c r="F591" s="134"/>
      <c r="G591" s="134"/>
      <c r="H591" s="134"/>
      <c r="I591" s="134"/>
    </row>
    <row r="592" ht="15.75" customHeight="1">
      <c r="A592" s="133"/>
      <c r="C592" s="134"/>
      <c r="D592" s="134"/>
      <c r="E592" s="134"/>
      <c r="F592" s="134"/>
      <c r="G592" s="134"/>
      <c r="H592" s="134"/>
      <c r="I592" s="134"/>
    </row>
    <row r="593" ht="15.75" customHeight="1">
      <c r="A593" s="133"/>
      <c r="C593" s="134"/>
      <c r="D593" s="134"/>
      <c r="E593" s="134"/>
      <c r="F593" s="134"/>
      <c r="G593" s="134"/>
      <c r="H593" s="134"/>
      <c r="I593" s="134"/>
    </row>
    <row r="594" ht="15.75" customHeight="1">
      <c r="A594" s="133"/>
      <c r="C594" s="134"/>
      <c r="D594" s="134"/>
      <c r="E594" s="134"/>
      <c r="F594" s="134"/>
      <c r="G594" s="134"/>
      <c r="H594" s="134"/>
      <c r="I594" s="134"/>
    </row>
    <row r="595" ht="15.75" customHeight="1">
      <c r="A595" s="133"/>
      <c r="C595" s="134"/>
      <c r="D595" s="134"/>
      <c r="E595" s="134"/>
      <c r="F595" s="134"/>
      <c r="G595" s="134"/>
      <c r="H595" s="134"/>
      <c r="I595" s="134"/>
    </row>
    <row r="596" ht="15.75" customHeight="1">
      <c r="A596" s="133"/>
      <c r="C596" s="134"/>
      <c r="D596" s="134"/>
      <c r="E596" s="134"/>
      <c r="F596" s="134"/>
      <c r="G596" s="134"/>
      <c r="H596" s="134"/>
      <c r="I596" s="134"/>
    </row>
    <row r="597" ht="15.75" customHeight="1">
      <c r="A597" s="133"/>
      <c r="C597" s="134"/>
      <c r="D597" s="134"/>
      <c r="E597" s="134"/>
      <c r="F597" s="134"/>
      <c r="G597" s="134"/>
      <c r="H597" s="134"/>
      <c r="I597" s="134"/>
    </row>
    <row r="598" ht="15.75" customHeight="1">
      <c r="A598" s="133"/>
      <c r="C598" s="134"/>
      <c r="D598" s="134"/>
      <c r="E598" s="134"/>
      <c r="F598" s="134"/>
      <c r="G598" s="134"/>
      <c r="H598" s="134"/>
      <c r="I598" s="134"/>
    </row>
    <row r="599" ht="15.75" customHeight="1">
      <c r="A599" s="133"/>
      <c r="C599" s="134"/>
      <c r="D599" s="134"/>
      <c r="E599" s="134"/>
      <c r="F599" s="134"/>
      <c r="G599" s="134"/>
      <c r="H599" s="134"/>
      <c r="I599" s="134"/>
    </row>
    <row r="600" ht="15.75" customHeight="1">
      <c r="A600" s="133"/>
      <c r="C600" s="134"/>
      <c r="D600" s="134"/>
      <c r="E600" s="134"/>
      <c r="F600" s="134"/>
      <c r="G600" s="134"/>
      <c r="H600" s="134"/>
      <c r="I600" s="134"/>
    </row>
    <row r="601" ht="15.75" customHeight="1">
      <c r="A601" s="133"/>
      <c r="C601" s="134"/>
      <c r="D601" s="134"/>
      <c r="E601" s="134"/>
      <c r="F601" s="134"/>
      <c r="G601" s="134"/>
      <c r="H601" s="134"/>
      <c r="I601" s="134"/>
    </row>
    <row r="602" ht="15.75" customHeight="1">
      <c r="A602" s="133"/>
      <c r="C602" s="134"/>
      <c r="D602" s="134"/>
      <c r="E602" s="134"/>
      <c r="F602" s="134"/>
      <c r="G602" s="134"/>
      <c r="H602" s="134"/>
      <c r="I602" s="134"/>
    </row>
    <row r="603" ht="15.75" customHeight="1">
      <c r="A603" s="133"/>
      <c r="C603" s="134"/>
      <c r="D603" s="134"/>
      <c r="E603" s="134"/>
      <c r="F603" s="134"/>
      <c r="G603" s="134"/>
      <c r="H603" s="134"/>
      <c r="I603" s="134"/>
    </row>
    <row r="604" ht="15.75" customHeight="1">
      <c r="A604" s="133"/>
      <c r="C604" s="134"/>
      <c r="D604" s="134"/>
      <c r="E604" s="134"/>
      <c r="F604" s="134"/>
      <c r="G604" s="134"/>
      <c r="H604" s="134"/>
      <c r="I604" s="134"/>
    </row>
    <row r="605" ht="15.75" customHeight="1">
      <c r="A605" s="133"/>
      <c r="C605" s="134"/>
      <c r="D605" s="134"/>
      <c r="E605" s="134"/>
      <c r="F605" s="134"/>
      <c r="G605" s="134"/>
      <c r="H605" s="134"/>
      <c r="I605" s="134"/>
    </row>
    <row r="606" ht="15.75" customHeight="1">
      <c r="A606" s="133"/>
      <c r="C606" s="134"/>
      <c r="D606" s="134"/>
      <c r="E606" s="134"/>
      <c r="F606" s="134"/>
      <c r="G606" s="134"/>
      <c r="H606" s="134"/>
      <c r="I606" s="134"/>
    </row>
    <row r="607" ht="15.75" customHeight="1">
      <c r="A607" s="133"/>
      <c r="C607" s="134"/>
      <c r="D607" s="134"/>
      <c r="E607" s="134"/>
      <c r="F607" s="134"/>
      <c r="G607" s="134"/>
      <c r="H607" s="134"/>
      <c r="I607" s="134"/>
    </row>
    <row r="608" ht="15.75" customHeight="1">
      <c r="A608" s="133"/>
      <c r="C608" s="134"/>
      <c r="D608" s="134"/>
      <c r="E608" s="134"/>
      <c r="F608" s="134"/>
      <c r="G608" s="134"/>
      <c r="H608" s="134"/>
      <c r="I608" s="134"/>
    </row>
    <row r="609" ht="15.75" customHeight="1">
      <c r="A609" s="133"/>
      <c r="C609" s="134"/>
      <c r="D609" s="134"/>
      <c r="E609" s="134"/>
      <c r="F609" s="134"/>
      <c r="G609" s="134"/>
      <c r="H609" s="134"/>
      <c r="I609" s="134"/>
    </row>
    <row r="610" ht="15.75" customHeight="1">
      <c r="A610" s="133"/>
      <c r="C610" s="134"/>
      <c r="D610" s="134"/>
      <c r="E610" s="134"/>
      <c r="F610" s="134"/>
      <c r="G610" s="134"/>
      <c r="H610" s="134"/>
      <c r="I610" s="134"/>
    </row>
    <row r="611" ht="15.75" customHeight="1">
      <c r="A611" s="133"/>
      <c r="C611" s="134"/>
      <c r="D611" s="134"/>
      <c r="E611" s="134"/>
      <c r="F611" s="134"/>
      <c r="G611" s="134"/>
      <c r="H611" s="134"/>
      <c r="I611" s="134"/>
    </row>
    <row r="612" ht="15.75" customHeight="1">
      <c r="A612" s="133"/>
      <c r="C612" s="134"/>
      <c r="D612" s="134"/>
      <c r="E612" s="134"/>
      <c r="F612" s="134"/>
      <c r="G612" s="134"/>
      <c r="H612" s="134"/>
      <c r="I612" s="134"/>
    </row>
    <row r="613" ht="15.75" customHeight="1">
      <c r="A613" s="133"/>
      <c r="C613" s="134"/>
      <c r="D613" s="134"/>
      <c r="E613" s="134"/>
      <c r="F613" s="134"/>
      <c r="G613" s="134"/>
      <c r="H613" s="134"/>
      <c r="I613" s="134"/>
    </row>
    <row r="614" ht="15.75" customHeight="1">
      <c r="A614" s="133"/>
      <c r="C614" s="134"/>
      <c r="D614" s="134"/>
      <c r="E614" s="134"/>
      <c r="F614" s="134"/>
      <c r="G614" s="134"/>
      <c r="H614" s="134"/>
      <c r="I614" s="134"/>
    </row>
    <row r="615" ht="15.75" customHeight="1">
      <c r="A615" s="133"/>
      <c r="C615" s="134"/>
      <c r="D615" s="134"/>
      <c r="E615" s="134"/>
      <c r="F615" s="134"/>
      <c r="G615" s="134"/>
      <c r="H615" s="134"/>
      <c r="I615" s="134"/>
    </row>
    <row r="616" ht="15.75" customHeight="1">
      <c r="A616" s="133"/>
      <c r="C616" s="134"/>
      <c r="D616" s="134"/>
      <c r="E616" s="134"/>
      <c r="F616" s="134"/>
      <c r="G616" s="134"/>
      <c r="H616" s="134"/>
      <c r="I616" s="134"/>
    </row>
    <row r="617" ht="15.75" customHeight="1">
      <c r="A617" s="133"/>
      <c r="C617" s="134"/>
      <c r="D617" s="134"/>
      <c r="E617" s="134"/>
      <c r="F617" s="134"/>
      <c r="G617" s="134"/>
      <c r="H617" s="134"/>
      <c r="I617" s="134"/>
    </row>
    <row r="618" ht="15.75" customHeight="1">
      <c r="A618" s="133"/>
      <c r="C618" s="134"/>
      <c r="D618" s="134"/>
      <c r="E618" s="134"/>
      <c r="F618" s="134"/>
      <c r="G618" s="134"/>
      <c r="H618" s="134"/>
      <c r="I618" s="134"/>
    </row>
    <row r="619" ht="15.75" customHeight="1">
      <c r="A619" s="133"/>
      <c r="C619" s="134"/>
      <c r="D619" s="134"/>
      <c r="E619" s="134"/>
      <c r="F619" s="134"/>
      <c r="G619" s="134"/>
      <c r="H619" s="134"/>
      <c r="I619" s="134"/>
    </row>
    <row r="620" ht="15.75" customHeight="1">
      <c r="A620" s="133"/>
      <c r="C620" s="134"/>
      <c r="D620" s="134"/>
      <c r="E620" s="134"/>
      <c r="F620" s="134"/>
      <c r="G620" s="134"/>
      <c r="H620" s="134"/>
      <c r="I620" s="134"/>
    </row>
    <row r="621" ht="15.75" customHeight="1">
      <c r="A621" s="133"/>
      <c r="C621" s="134"/>
      <c r="D621" s="134"/>
      <c r="E621" s="134"/>
      <c r="F621" s="134"/>
      <c r="G621" s="134"/>
      <c r="H621" s="134"/>
      <c r="I621" s="134"/>
    </row>
    <row r="622" ht="15.75" customHeight="1">
      <c r="A622" s="133"/>
      <c r="C622" s="134"/>
      <c r="D622" s="134"/>
      <c r="E622" s="134"/>
      <c r="F622" s="134"/>
      <c r="G622" s="134"/>
      <c r="H622" s="134"/>
      <c r="I622" s="134"/>
    </row>
    <row r="623" ht="15.75" customHeight="1">
      <c r="A623" s="133"/>
      <c r="C623" s="134"/>
      <c r="D623" s="134"/>
      <c r="E623" s="134"/>
      <c r="F623" s="134"/>
      <c r="G623" s="134"/>
      <c r="H623" s="134"/>
      <c r="I623" s="134"/>
    </row>
    <row r="624" ht="15.75" customHeight="1">
      <c r="A624" s="133"/>
      <c r="C624" s="134"/>
      <c r="D624" s="134"/>
      <c r="E624" s="134"/>
      <c r="F624" s="134"/>
      <c r="G624" s="134"/>
      <c r="H624" s="134"/>
      <c r="I624" s="134"/>
    </row>
    <row r="625" ht="15.75" customHeight="1">
      <c r="A625" s="133"/>
      <c r="C625" s="134"/>
      <c r="D625" s="134"/>
      <c r="E625" s="134"/>
      <c r="F625" s="134"/>
      <c r="G625" s="134"/>
      <c r="H625" s="134"/>
      <c r="I625" s="134"/>
    </row>
    <row r="626" ht="15.75" customHeight="1">
      <c r="A626" s="133"/>
      <c r="C626" s="134"/>
      <c r="D626" s="134"/>
      <c r="E626" s="134"/>
      <c r="F626" s="134"/>
      <c r="G626" s="134"/>
      <c r="H626" s="134"/>
      <c r="I626" s="134"/>
    </row>
    <row r="627" ht="15.75" customHeight="1">
      <c r="A627" s="133"/>
      <c r="C627" s="134"/>
      <c r="D627" s="134"/>
      <c r="E627" s="134"/>
      <c r="F627" s="134"/>
      <c r="G627" s="134"/>
      <c r="H627" s="134"/>
      <c r="I627" s="134"/>
    </row>
    <row r="628" ht="15.75" customHeight="1">
      <c r="A628" s="133"/>
      <c r="C628" s="134"/>
      <c r="D628" s="134"/>
      <c r="E628" s="134"/>
      <c r="F628" s="134"/>
      <c r="G628" s="134"/>
      <c r="H628" s="134"/>
      <c r="I628" s="134"/>
    </row>
    <row r="629" ht="15.75" customHeight="1">
      <c r="A629" s="133"/>
      <c r="C629" s="134"/>
      <c r="D629" s="134"/>
      <c r="E629" s="134"/>
      <c r="F629" s="134"/>
      <c r="G629" s="134"/>
      <c r="H629" s="134"/>
      <c r="I629" s="134"/>
    </row>
    <row r="630" ht="15.75" customHeight="1">
      <c r="A630" s="133"/>
      <c r="C630" s="134"/>
      <c r="D630" s="134"/>
      <c r="E630" s="134"/>
      <c r="F630" s="134"/>
      <c r="G630" s="134"/>
      <c r="H630" s="134"/>
      <c r="I630" s="134"/>
    </row>
    <row r="631" ht="15.75" customHeight="1">
      <c r="A631" s="133"/>
      <c r="C631" s="134"/>
      <c r="D631" s="134"/>
      <c r="E631" s="134"/>
      <c r="F631" s="134"/>
      <c r="G631" s="134"/>
      <c r="H631" s="134"/>
      <c r="I631" s="134"/>
    </row>
    <row r="632" ht="15.75" customHeight="1">
      <c r="A632" s="133"/>
      <c r="C632" s="134"/>
      <c r="D632" s="134"/>
      <c r="E632" s="134"/>
      <c r="F632" s="134"/>
      <c r="G632" s="134"/>
      <c r="H632" s="134"/>
      <c r="I632" s="134"/>
    </row>
    <row r="633" ht="15.75" customHeight="1">
      <c r="A633" s="133"/>
      <c r="C633" s="134"/>
      <c r="D633" s="134"/>
      <c r="E633" s="134"/>
      <c r="F633" s="134"/>
      <c r="G633" s="134"/>
      <c r="H633" s="134"/>
      <c r="I633" s="134"/>
    </row>
    <row r="634" ht="15.75" customHeight="1">
      <c r="A634" s="133"/>
      <c r="C634" s="134"/>
      <c r="D634" s="134"/>
      <c r="E634" s="134"/>
      <c r="F634" s="134"/>
      <c r="G634" s="134"/>
      <c r="H634" s="134"/>
      <c r="I634" s="134"/>
    </row>
    <row r="635" ht="15.75" customHeight="1">
      <c r="A635" s="133"/>
      <c r="C635" s="134"/>
      <c r="D635" s="134"/>
      <c r="E635" s="134"/>
      <c r="F635" s="134"/>
      <c r="G635" s="134"/>
      <c r="H635" s="134"/>
      <c r="I635" s="134"/>
    </row>
    <row r="636" ht="15.75" customHeight="1">
      <c r="A636" s="133"/>
      <c r="C636" s="134"/>
      <c r="D636" s="134"/>
      <c r="E636" s="134"/>
      <c r="F636" s="134"/>
      <c r="G636" s="134"/>
      <c r="H636" s="134"/>
      <c r="I636" s="134"/>
    </row>
    <row r="637" ht="15.75" customHeight="1">
      <c r="A637" s="133"/>
      <c r="C637" s="134"/>
      <c r="D637" s="134"/>
      <c r="E637" s="134"/>
      <c r="F637" s="134"/>
      <c r="G637" s="134"/>
      <c r="H637" s="134"/>
      <c r="I637" s="134"/>
    </row>
    <row r="638" ht="15.75" customHeight="1">
      <c r="A638" s="133"/>
      <c r="C638" s="134"/>
      <c r="D638" s="134"/>
      <c r="E638" s="134"/>
      <c r="F638" s="134"/>
      <c r="G638" s="134"/>
      <c r="H638" s="134"/>
      <c r="I638" s="134"/>
    </row>
    <row r="639" ht="15.75" customHeight="1">
      <c r="A639" s="133"/>
      <c r="C639" s="134"/>
      <c r="D639" s="134"/>
      <c r="E639" s="134"/>
      <c r="F639" s="134"/>
      <c r="G639" s="134"/>
      <c r="H639" s="134"/>
      <c r="I639" s="134"/>
    </row>
    <row r="640" ht="15.75" customHeight="1">
      <c r="A640" s="133"/>
      <c r="C640" s="134"/>
      <c r="D640" s="134"/>
      <c r="E640" s="134"/>
      <c r="F640" s="134"/>
      <c r="G640" s="134"/>
      <c r="H640" s="134"/>
      <c r="I640" s="134"/>
    </row>
    <row r="641" ht="15.75" customHeight="1">
      <c r="A641" s="133"/>
      <c r="C641" s="134"/>
      <c r="D641" s="134"/>
      <c r="E641" s="134"/>
      <c r="F641" s="134"/>
      <c r="G641" s="134"/>
      <c r="H641" s="134"/>
      <c r="I641" s="134"/>
    </row>
    <row r="642" ht="15.75" customHeight="1">
      <c r="A642" s="133"/>
      <c r="C642" s="134"/>
      <c r="D642" s="134"/>
      <c r="E642" s="134"/>
      <c r="F642" s="134"/>
      <c r="G642" s="134"/>
      <c r="H642" s="134"/>
      <c r="I642" s="134"/>
    </row>
    <row r="643" ht="15.75" customHeight="1">
      <c r="A643" s="133"/>
      <c r="C643" s="134"/>
      <c r="D643" s="134"/>
      <c r="E643" s="134"/>
      <c r="F643" s="134"/>
      <c r="G643" s="134"/>
      <c r="H643" s="134"/>
      <c r="I643" s="134"/>
    </row>
    <row r="644" ht="15.75" customHeight="1">
      <c r="A644" s="133"/>
      <c r="C644" s="134"/>
      <c r="D644" s="134"/>
      <c r="E644" s="134"/>
      <c r="F644" s="134"/>
      <c r="G644" s="134"/>
      <c r="H644" s="134"/>
      <c r="I644" s="134"/>
    </row>
    <row r="645" ht="15.75" customHeight="1">
      <c r="A645" s="133"/>
      <c r="C645" s="134"/>
      <c r="D645" s="134"/>
      <c r="E645" s="134"/>
      <c r="F645" s="134"/>
      <c r="G645" s="134"/>
      <c r="H645" s="134"/>
      <c r="I645" s="134"/>
    </row>
    <row r="646" ht="15.75" customHeight="1">
      <c r="A646" s="133"/>
      <c r="C646" s="134"/>
      <c r="D646" s="134"/>
      <c r="E646" s="134"/>
      <c r="F646" s="134"/>
      <c r="G646" s="134"/>
      <c r="H646" s="134"/>
      <c r="I646" s="134"/>
    </row>
    <row r="647" ht="15.75" customHeight="1">
      <c r="A647" s="133"/>
      <c r="C647" s="134"/>
      <c r="D647" s="134"/>
      <c r="E647" s="134"/>
      <c r="F647" s="134"/>
      <c r="G647" s="134"/>
      <c r="H647" s="134"/>
      <c r="I647" s="134"/>
    </row>
    <row r="648" ht="15.75" customHeight="1">
      <c r="A648" s="133"/>
      <c r="C648" s="134"/>
      <c r="D648" s="134"/>
      <c r="E648" s="134"/>
      <c r="F648" s="134"/>
      <c r="G648" s="134"/>
      <c r="H648" s="134"/>
      <c r="I648" s="134"/>
    </row>
    <row r="649" ht="15.75" customHeight="1">
      <c r="A649" s="133"/>
      <c r="C649" s="134"/>
      <c r="D649" s="134"/>
      <c r="E649" s="134"/>
      <c r="F649" s="134"/>
      <c r="G649" s="134"/>
      <c r="H649" s="134"/>
      <c r="I649" s="134"/>
    </row>
    <row r="650" ht="15.75" customHeight="1">
      <c r="A650" s="133"/>
      <c r="C650" s="134"/>
      <c r="D650" s="134"/>
      <c r="E650" s="134"/>
      <c r="F650" s="134"/>
      <c r="G650" s="134"/>
      <c r="H650" s="134"/>
      <c r="I650" s="134"/>
    </row>
    <row r="651" ht="15.75" customHeight="1">
      <c r="A651" s="133"/>
      <c r="C651" s="134"/>
      <c r="D651" s="134"/>
      <c r="E651" s="134"/>
      <c r="F651" s="134"/>
      <c r="G651" s="134"/>
      <c r="H651" s="134"/>
      <c r="I651" s="134"/>
    </row>
    <row r="652" ht="15.75" customHeight="1">
      <c r="A652" s="133"/>
      <c r="C652" s="134"/>
      <c r="D652" s="134"/>
      <c r="E652" s="134"/>
      <c r="F652" s="134"/>
      <c r="G652" s="134"/>
      <c r="H652" s="134"/>
      <c r="I652" s="134"/>
    </row>
    <row r="653" ht="15.75" customHeight="1">
      <c r="A653" s="133"/>
      <c r="C653" s="134"/>
      <c r="D653" s="134"/>
      <c r="E653" s="134"/>
      <c r="F653" s="134"/>
      <c r="G653" s="134"/>
      <c r="H653" s="134"/>
      <c r="I653" s="134"/>
    </row>
    <row r="654" ht="15.75" customHeight="1">
      <c r="A654" s="133"/>
      <c r="C654" s="134"/>
      <c r="D654" s="134"/>
      <c r="E654" s="134"/>
      <c r="F654" s="134"/>
      <c r="G654" s="134"/>
      <c r="H654" s="134"/>
      <c r="I654" s="134"/>
    </row>
    <row r="655" ht="15.75" customHeight="1">
      <c r="A655" s="133"/>
      <c r="C655" s="134"/>
      <c r="D655" s="134"/>
      <c r="E655" s="134"/>
      <c r="F655" s="134"/>
      <c r="G655" s="134"/>
      <c r="H655" s="134"/>
      <c r="I655" s="134"/>
    </row>
    <row r="656" ht="15.75" customHeight="1">
      <c r="A656" s="133"/>
      <c r="C656" s="134"/>
      <c r="D656" s="134"/>
      <c r="E656" s="134"/>
      <c r="F656" s="134"/>
      <c r="G656" s="134"/>
      <c r="H656" s="134"/>
      <c r="I656" s="134"/>
    </row>
    <row r="657" ht="15.75" customHeight="1">
      <c r="A657" s="133"/>
      <c r="C657" s="134"/>
      <c r="D657" s="134"/>
      <c r="E657" s="134"/>
      <c r="F657" s="134"/>
      <c r="G657" s="134"/>
      <c r="H657" s="134"/>
      <c r="I657" s="134"/>
    </row>
    <row r="658" ht="15.75" customHeight="1">
      <c r="A658" s="133"/>
      <c r="C658" s="134"/>
      <c r="D658" s="134"/>
      <c r="E658" s="134"/>
      <c r="F658" s="134"/>
      <c r="G658" s="134"/>
      <c r="H658" s="134"/>
      <c r="I658" s="134"/>
    </row>
    <row r="659" ht="15.75" customHeight="1">
      <c r="A659" s="133"/>
      <c r="C659" s="134"/>
      <c r="D659" s="134"/>
      <c r="E659" s="134"/>
      <c r="F659" s="134"/>
      <c r="G659" s="134"/>
      <c r="H659" s="134"/>
      <c r="I659" s="134"/>
    </row>
    <row r="660" ht="15.75" customHeight="1">
      <c r="A660" s="133"/>
      <c r="C660" s="134"/>
      <c r="D660" s="134"/>
      <c r="E660" s="134"/>
      <c r="F660" s="134"/>
      <c r="G660" s="134"/>
      <c r="H660" s="134"/>
      <c r="I660" s="134"/>
    </row>
    <row r="661" ht="15.75" customHeight="1">
      <c r="A661" s="133"/>
      <c r="C661" s="134"/>
      <c r="D661" s="134"/>
      <c r="E661" s="134"/>
      <c r="F661" s="134"/>
      <c r="G661" s="134"/>
      <c r="H661" s="134"/>
      <c r="I661" s="134"/>
    </row>
    <row r="662" ht="15.75" customHeight="1">
      <c r="A662" s="133"/>
      <c r="C662" s="134"/>
      <c r="D662" s="134"/>
      <c r="E662" s="134"/>
      <c r="F662" s="134"/>
      <c r="G662" s="134"/>
      <c r="H662" s="134"/>
      <c r="I662" s="134"/>
    </row>
    <row r="663" ht="15.75" customHeight="1">
      <c r="A663" s="133"/>
      <c r="C663" s="134"/>
      <c r="D663" s="134"/>
      <c r="E663" s="134"/>
      <c r="F663" s="134"/>
      <c r="G663" s="134"/>
      <c r="H663" s="134"/>
      <c r="I663" s="134"/>
    </row>
    <row r="664" ht="15.75" customHeight="1">
      <c r="A664" s="133"/>
      <c r="C664" s="134"/>
      <c r="D664" s="134"/>
      <c r="E664" s="134"/>
      <c r="F664" s="134"/>
      <c r="G664" s="134"/>
      <c r="H664" s="134"/>
      <c r="I664" s="134"/>
    </row>
    <row r="665" ht="15.75" customHeight="1">
      <c r="A665" s="133"/>
      <c r="C665" s="134"/>
      <c r="D665" s="134"/>
      <c r="E665" s="134"/>
      <c r="F665" s="134"/>
      <c r="G665" s="134"/>
      <c r="H665" s="134"/>
      <c r="I665" s="134"/>
    </row>
    <row r="666" ht="15.75" customHeight="1">
      <c r="A666" s="133"/>
      <c r="C666" s="134"/>
      <c r="D666" s="134"/>
      <c r="E666" s="134"/>
      <c r="F666" s="134"/>
      <c r="G666" s="134"/>
      <c r="H666" s="134"/>
      <c r="I666" s="134"/>
    </row>
    <row r="667" ht="15.75" customHeight="1">
      <c r="A667" s="133"/>
      <c r="C667" s="134"/>
      <c r="D667" s="134"/>
      <c r="E667" s="134"/>
      <c r="F667" s="134"/>
      <c r="G667" s="134"/>
      <c r="H667" s="134"/>
      <c r="I667" s="134"/>
    </row>
    <row r="668" ht="15.75" customHeight="1">
      <c r="A668" s="133"/>
      <c r="C668" s="134"/>
      <c r="D668" s="134"/>
      <c r="E668" s="134"/>
      <c r="F668" s="134"/>
      <c r="G668" s="134"/>
      <c r="H668" s="134"/>
      <c r="I668" s="134"/>
    </row>
    <row r="669" ht="15.75" customHeight="1">
      <c r="A669" s="133"/>
      <c r="C669" s="134"/>
      <c r="D669" s="134"/>
      <c r="E669" s="134"/>
      <c r="F669" s="134"/>
      <c r="G669" s="134"/>
      <c r="H669" s="134"/>
      <c r="I669" s="134"/>
    </row>
    <row r="670" ht="15.75" customHeight="1">
      <c r="A670" s="133"/>
      <c r="C670" s="134"/>
      <c r="D670" s="134"/>
      <c r="E670" s="134"/>
      <c r="F670" s="134"/>
      <c r="G670" s="134"/>
      <c r="H670" s="134"/>
      <c r="I670" s="134"/>
    </row>
    <row r="671" ht="15.75" customHeight="1">
      <c r="A671" s="133"/>
      <c r="C671" s="134"/>
      <c r="D671" s="134"/>
      <c r="E671" s="134"/>
      <c r="F671" s="134"/>
      <c r="G671" s="134"/>
      <c r="H671" s="134"/>
      <c r="I671" s="134"/>
    </row>
    <row r="672" ht="15.75" customHeight="1">
      <c r="A672" s="133"/>
      <c r="C672" s="134"/>
      <c r="D672" s="134"/>
      <c r="E672" s="134"/>
      <c r="F672" s="134"/>
      <c r="G672" s="134"/>
      <c r="H672" s="134"/>
      <c r="I672" s="134"/>
    </row>
    <row r="673" ht="15.75" customHeight="1">
      <c r="A673" s="133"/>
      <c r="C673" s="134"/>
      <c r="D673" s="134"/>
      <c r="E673" s="134"/>
      <c r="F673" s="134"/>
      <c r="G673" s="134"/>
      <c r="H673" s="134"/>
      <c r="I673" s="134"/>
    </row>
    <row r="674" ht="15.75" customHeight="1">
      <c r="A674" s="133"/>
      <c r="C674" s="134"/>
      <c r="D674" s="134"/>
      <c r="E674" s="134"/>
      <c r="F674" s="134"/>
      <c r="G674" s="134"/>
      <c r="H674" s="134"/>
      <c r="I674" s="134"/>
    </row>
    <row r="675" ht="15.75" customHeight="1">
      <c r="A675" s="133"/>
      <c r="C675" s="134"/>
      <c r="D675" s="134"/>
      <c r="E675" s="134"/>
      <c r="F675" s="134"/>
      <c r="G675" s="134"/>
      <c r="H675" s="134"/>
      <c r="I675" s="134"/>
    </row>
    <row r="676" ht="15.75" customHeight="1">
      <c r="A676" s="133"/>
      <c r="C676" s="134"/>
      <c r="D676" s="134"/>
      <c r="E676" s="134"/>
      <c r="F676" s="134"/>
      <c r="G676" s="134"/>
      <c r="H676" s="134"/>
      <c r="I676" s="134"/>
    </row>
    <row r="677" ht="15.75" customHeight="1">
      <c r="A677" s="133"/>
      <c r="C677" s="134"/>
      <c r="D677" s="134"/>
      <c r="E677" s="134"/>
      <c r="F677" s="134"/>
      <c r="G677" s="134"/>
      <c r="H677" s="134"/>
      <c r="I677" s="134"/>
    </row>
    <row r="678" ht="15.75" customHeight="1">
      <c r="A678" s="133"/>
      <c r="C678" s="134"/>
      <c r="D678" s="134"/>
      <c r="E678" s="134"/>
      <c r="F678" s="134"/>
      <c r="G678" s="134"/>
      <c r="H678" s="134"/>
      <c r="I678" s="134"/>
    </row>
    <row r="679" ht="15.75" customHeight="1">
      <c r="A679" s="133"/>
      <c r="C679" s="134"/>
      <c r="D679" s="134"/>
      <c r="E679" s="134"/>
      <c r="F679" s="134"/>
      <c r="G679" s="134"/>
      <c r="H679" s="134"/>
      <c r="I679" s="134"/>
    </row>
    <row r="680" ht="15.75" customHeight="1">
      <c r="A680" s="133"/>
      <c r="C680" s="134"/>
      <c r="D680" s="134"/>
      <c r="E680" s="134"/>
      <c r="F680" s="134"/>
      <c r="G680" s="134"/>
      <c r="H680" s="134"/>
      <c r="I680" s="134"/>
    </row>
    <row r="681" ht="15.75" customHeight="1">
      <c r="A681" s="133"/>
      <c r="C681" s="134"/>
      <c r="D681" s="134"/>
      <c r="E681" s="134"/>
      <c r="F681" s="134"/>
      <c r="G681" s="134"/>
      <c r="H681" s="134"/>
      <c r="I681" s="134"/>
    </row>
    <row r="682" ht="15.75" customHeight="1">
      <c r="A682" s="133"/>
      <c r="C682" s="134"/>
      <c r="D682" s="134"/>
      <c r="E682" s="134"/>
      <c r="F682" s="134"/>
      <c r="G682" s="134"/>
      <c r="H682" s="134"/>
      <c r="I682" s="134"/>
    </row>
    <row r="683" ht="15.75" customHeight="1">
      <c r="A683" s="133"/>
      <c r="C683" s="134"/>
      <c r="D683" s="134"/>
      <c r="E683" s="134"/>
      <c r="F683" s="134"/>
      <c r="G683" s="134"/>
      <c r="H683" s="134"/>
      <c r="I683" s="134"/>
    </row>
    <row r="684" ht="15.75" customHeight="1">
      <c r="A684" s="133"/>
      <c r="C684" s="134"/>
      <c r="D684" s="134"/>
      <c r="E684" s="134"/>
      <c r="F684" s="134"/>
      <c r="G684" s="134"/>
      <c r="H684" s="134"/>
      <c r="I684" s="134"/>
    </row>
    <row r="685" ht="15.75" customHeight="1">
      <c r="A685" s="133"/>
      <c r="C685" s="134"/>
      <c r="D685" s="134"/>
      <c r="E685" s="134"/>
      <c r="F685" s="134"/>
      <c r="G685" s="134"/>
      <c r="H685" s="134"/>
      <c r="I685" s="134"/>
    </row>
    <row r="686" ht="15.75" customHeight="1">
      <c r="A686" s="133"/>
      <c r="C686" s="134"/>
      <c r="D686" s="134"/>
      <c r="E686" s="134"/>
      <c r="F686" s="134"/>
      <c r="G686" s="134"/>
      <c r="H686" s="134"/>
      <c r="I686" s="134"/>
    </row>
    <row r="687" ht="15.75" customHeight="1">
      <c r="A687" s="133"/>
      <c r="C687" s="134"/>
      <c r="D687" s="134"/>
      <c r="E687" s="134"/>
      <c r="F687" s="134"/>
      <c r="G687" s="134"/>
      <c r="H687" s="134"/>
      <c r="I687" s="134"/>
    </row>
    <row r="688" ht="15.75" customHeight="1">
      <c r="A688" s="133"/>
      <c r="C688" s="134"/>
      <c r="D688" s="134"/>
      <c r="E688" s="134"/>
      <c r="F688" s="134"/>
      <c r="G688" s="134"/>
      <c r="H688" s="134"/>
      <c r="I688" s="134"/>
    </row>
    <row r="689" ht="15.75" customHeight="1">
      <c r="A689" s="133"/>
      <c r="C689" s="134"/>
      <c r="D689" s="134"/>
      <c r="E689" s="134"/>
      <c r="F689" s="134"/>
      <c r="G689" s="134"/>
      <c r="H689" s="134"/>
      <c r="I689" s="134"/>
    </row>
    <row r="690" ht="15.75" customHeight="1">
      <c r="A690" s="133"/>
      <c r="C690" s="134"/>
      <c r="D690" s="134"/>
      <c r="E690" s="134"/>
      <c r="F690" s="134"/>
      <c r="G690" s="134"/>
      <c r="H690" s="134"/>
      <c r="I690" s="134"/>
    </row>
    <row r="691" ht="15.75" customHeight="1">
      <c r="A691" s="133"/>
      <c r="C691" s="134"/>
      <c r="D691" s="134"/>
      <c r="E691" s="134"/>
      <c r="F691" s="134"/>
      <c r="G691" s="134"/>
      <c r="H691" s="134"/>
      <c r="I691" s="134"/>
    </row>
    <row r="692" ht="15.75" customHeight="1">
      <c r="A692" s="133"/>
      <c r="C692" s="134"/>
      <c r="D692" s="134"/>
      <c r="E692" s="134"/>
      <c r="F692" s="134"/>
      <c r="G692" s="134"/>
      <c r="H692" s="134"/>
      <c r="I692" s="134"/>
    </row>
    <row r="693" ht="15.75" customHeight="1">
      <c r="A693" s="133"/>
      <c r="C693" s="134"/>
      <c r="D693" s="134"/>
      <c r="E693" s="134"/>
      <c r="F693" s="134"/>
      <c r="G693" s="134"/>
      <c r="H693" s="134"/>
      <c r="I693" s="134"/>
    </row>
    <row r="694" ht="15.75" customHeight="1">
      <c r="A694" s="133"/>
      <c r="C694" s="134"/>
      <c r="D694" s="134"/>
      <c r="E694" s="134"/>
      <c r="F694" s="134"/>
      <c r="G694" s="134"/>
      <c r="H694" s="134"/>
      <c r="I694" s="134"/>
    </row>
    <row r="695" ht="15.75" customHeight="1">
      <c r="A695" s="133"/>
      <c r="C695" s="134"/>
      <c r="D695" s="134"/>
      <c r="E695" s="134"/>
      <c r="F695" s="134"/>
      <c r="G695" s="134"/>
      <c r="H695" s="134"/>
      <c r="I695" s="134"/>
    </row>
    <row r="696" ht="15.75" customHeight="1">
      <c r="A696" s="133"/>
      <c r="C696" s="134"/>
      <c r="D696" s="134"/>
      <c r="E696" s="134"/>
      <c r="F696" s="134"/>
      <c r="G696" s="134"/>
      <c r="H696" s="134"/>
      <c r="I696" s="134"/>
    </row>
    <row r="697" ht="15.75" customHeight="1">
      <c r="A697" s="133"/>
      <c r="C697" s="134"/>
      <c r="D697" s="134"/>
      <c r="E697" s="134"/>
      <c r="F697" s="134"/>
      <c r="G697" s="134"/>
      <c r="H697" s="134"/>
      <c r="I697" s="134"/>
    </row>
    <row r="698" ht="15.75" customHeight="1">
      <c r="A698" s="133"/>
      <c r="C698" s="134"/>
      <c r="D698" s="134"/>
      <c r="E698" s="134"/>
      <c r="F698" s="134"/>
      <c r="G698" s="134"/>
      <c r="H698" s="134"/>
      <c r="I698" s="134"/>
    </row>
    <row r="699" ht="15.75" customHeight="1">
      <c r="A699" s="133"/>
      <c r="C699" s="134"/>
      <c r="D699" s="134"/>
      <c r="E699" s="134"/>
      <c r="F699" s="134"/>
      <c r="G699" s="134"/>
      <c r="H699" s="134"/>
      <c r="I699" s="134"/>
    </row>
    <row r="700" ht="15.75" customHeight="1">
      <c r="A700" s="133"/>
      <c r="C700" s="134"/>
      <c r="D700" s="134"/>
      <c r="E700" s="134"/>
      <c r="F700" s="134"/>
      <c r="G700" s="134"/>
      <c r="H700" s="134"/>
      <c r="I700" s="134"/>
    </row>
    <row r="701" ht="15.75" customHeight="1">
      <c r="A701" s="133"/>
      <c r="C701" s="134"/>
      <c r="D701" s="134"/>
      <c r="E701" s="134"/>
      <c r="F701" s="134"/>
      <c r="G701" s="134"/>
      <c r="H701" s="134"/>
      <c r="I701" s="134"/>
    </row>
    <row r="702" ht="15.75" customHeight="1">
      <c r="A702" s="133"/>
      <c r="C702" s="134"/>
      <c r="D702" s="134"/>
      <c r="E702" s="134"/>
      <c r="F702" s="134"/>
      <c r="G702" s="134"/>
      <c r="H702" s="134"/>
      <c r="I702" s="134"/>
    </row>
    <row r="703" ht="15.75" customHeight="1">
      <c r="A703" s="133"/>
      <c r="C703" s="134"/>
      <c r="D703" s="134"/>
      <c r="E703" s="134"/>
      <c r="F703" s="134"/>
      <c r="G703" s="134"/>
      <c r="H703" s="134"/>
      <c r="I703" s="134"/>
    </row>
    <row r="704" ht="15.75" customHeight="1">
      <c r="A704" s="133"/>
      <c r="C704" s="134"/>
      <c r="D704" s="134"/>
      <c r="E704" s="134"/>
      <c r="F704" s="134"/>
      <c r="G704" s="134"/>
      <c r="H704" s="134"/>
      <c r="I704" s="134"/>
    </row>
    <row r="705" ht="15.75" customHeight="1">
      <c r="A705" s="133"/>
      <c r="C705" s="134"/>
      <c r="D705" s="134"/>
      <c r="E705" s="134"/>
      <c r="F705" s="134"/>
      <c r="G705" s="134"/>
      <c r="H705" s="134"/>
      <c r="I705" s="134"/>
    </row>
    <row r="706" ht="15.75" customHeight="1">
      <c r="A706" s="133"/>
      <c r="C706" s="134"/>
      <c r="D706" s="134"/>
      <c r="E706" s="134"/>
      <c r="F706" s="134"/>
      <c r="G706" s="134"/>
      <c r="H706" s="134"/>
      <c r="I706" s="134"/>
    </row>
    <row r="707" ht="15.75" customHeight="1">
      <c r="A707" s="133"/>
      <c r="C707" s="134"/>
      <c r="D707" s="134"/>
      <c r="E707" s="134"/>
      <c r="F707" s="134"/>
      <c r="G707" s="134"/>
      <c r="H707" s="134"/>
      <c r="I707" s="134"/>
    </row>
    <row r="708" ht="15.75" customHeight="1">
      <c r="A708" s="133"/>
      <c r="C708" s="134"/>
      <c r="D708" s="134"/>
      <c r="E708" s="134"/>
      <c r="F708" s="134"/>
      <c r="G708" s="134"/>
      <c r="H708" s="134"/>
      <c r="I708" s="134"/>
    </row>
    <row r="709" ht="15.75" customHeight="1">
      <c r="A709" s="133"/>
      <c r="C709" s="134"/>
      <c r="D709" s="134"/>
      <c r="E709" s="134"/>
      <c r="F709" s="134"/>
      <c r="G709" s="134"/>
      <c r="H709" s="134"/>
      <c r="I709" s="134"/>
    </row>
    <row r="710" ht="15.75" customHeight="1">
      <c r="A710" s="133"/>
      <c r="C710" s="134"/>
      <c r="D710" s="134"/>
      <c r="E710" s="134"/>
      <c r="F710" s="134"/>
      <c r="G710" s="134"/>
      <c r="H710" s="134"/>
      <c r="I710" s="134"/>
    </row>
    <row r="711" ht="15.75" customHeight="1">
      <c r="A711" s="133"/>
      <c r="C711" s="134"/>
      <c r="D711" s="134"/>
      <c r="E711" s="134"/>
      <c r="F711" s="134"/>
      <c r="G711" s="134"/>
      <c r="H711" s="134"/>
      <c r="I711" s="134"/>
    </row>
    <row r="712" ht="15.75" customHeight="1">
      <c r="A712" s="133"/>
      <c r="C712" s="134"/>
      <c r="D712" s="134"/>
      <c r="E712" s="134"/>
      <c r="F712" s="134"/>
      <c r="G712" s="134"/>
      <c r="H712" s="134"/>
      <c r="I712" s="134"/>
    </row>
    <row r="713" ht="15.75" customHeight="1">
      <c r="A713" s="133"/>
      <c r="C713" s="134"/>
      <c r="D713" s="134"/>
      <c r="E713" s="134"/>
      <c r="F713" s="134"/>
      <c r="G713" s="134"/>
      <c r="H713" s="134"/>
      <c r="I713" s="134"/>
    </row>
    <row r="714" ht="15.75" customHeight="1">
      <c r="A714" s="133"/>
      <c r="C714" s="134"/>
      <c r="D714" s="134"/>
      <c r="E714" s="134"/>
      <c r="F714" s="134"/>
      <c r="G714" s="134"/>
      <c r="H714" s="134"/>
      <c r="I714" s="134"/>
    </row>
    <row r="715" ht="15.75" customHeight="1">
      <c r="A715" s="133"/>
      <c r="C715" s="134"/>
      <c r="D715" s="134"/>
      <c r="E715" s="134"/>
      <c r="F715" s="134"/>
      <c r="G715" s="134"/>
      <c r="H715" s="134"/>
      <c r="I715" s="134"/>
    </row>
    <row r="716" ht="15.75" customHeight="1">
      <c r="A716" s="133"/>
      <c r="C716" s="134"/>
      <c r="D716" s="134"/>
      <c r="E716" s="134"/>
      <c r="F716" s="134"/>
      <c r="G716" s="134"/>
      <c r="H716" s="134"/>
      <c r="I716" s="134"/>
    </row>
    <row r="717" ht="15.75" customHeight="1">
      <c r="A717" s="133"/>
      <c r="C717" s="134"/>
      <c r="D717" s="134"/>
      <c r="E717" s="134"/>
      <c r="F717" s="134"/>
      <c r="G717" s="134"/>
      <c r="H717" s="134"/>
      <c r="I717" s="134"/>
    </row>
    <row r="718" ht="15.75" customHeight="1">
      <c r="A718" s="133"/>
      <c r="C718" s="134"/>
      <c r="D718" s="134"/>
      <c r="E718" s="134"/>
      <c r="F718" s="134"/>
      <c r="G718" s="134"/>
      <c r="H718" s="134"/>
      <c r="I718" s="134"/>
    </row>
    <row r="719" ht="15.75" customHeight="1">
      <c r="A719" s="133"/>
      <c r="C719" s="134"/>
      <c r="D719" s="134"/>
      <c r="E719" s="134"/>
      <c r="F719" s="134"/>
      <c r="G719" s="134"/>
      <c r="H719" s="134"/>
      <c r="I719" s="134"/>
    </row>
    <row r="720" ht="15.75" customHeight="1">
      <c r="A720" s="133"/>
      <c r="C720" s="134"/>
      <c r="D720" s="134"/>
      <c r="E720" s="134"/>
      <c r="F720" s="134"/>
      <c r="G720" s="134"/>
      <c r="H720" s="134"/>
      <c r="I720" s="134"/>
    </row>
    <row r="721" ht="15.75" customHeight="1">
      <c r="A721" s="133"/>
      <c r="C721" s="134"/>
      <c r="D721" s="134"/>
      <c r="E721" s="134"/>
      <c r="F721" s="134"/>
      <c r="G721" s="134"/>
      <c r="H721" s="134"/>
      <c r="I721" s="134"/>
    </row>
    <row r="722" ht="15.75" customHeight="1">
      <c r="A722" s="133"/>
      <c r="C722" s="134"/>
      <c r="D722" s="134"/>
      <c r="E722" s="134"/>
      <c r="F722" s="134"/>
      <c r="G722" s="134"/>
      <c r="H722" s="134"/>
      <c r="I722" s="134"/>
    </row>
    <row r="723" ht="15.75" customHeight="1">
      <c r="A723" s="133"/>
      <c r="C723" s="134"/>
      <c r="D723" s="134"/>
      <c r="E723" s="134"/>
      <c r="F723" s="134"/>
      <c r="G723" s="134"/>
      <c r="H723" s="134"/>
      <c r="I723" s="134"/>
    </row>
    <row r="724" ht="15.75" customHeight="1">
      <c r="A724" s="133"/>
      <c r="C724" s="134"/>
      <c r="D724" s="134"/>
      <c r="E724" s="134"/>
      <c r="F724" s="134"/>
      <c r="G724" s="134"/>
      <c r="H724" s="134"/>
      <c r="I724" s="134"/>
    </row>
    <row r="725" ht="15.75" customHeight="1">
      <c r="A725" s="133"/>
      <c r="C725" s="134"/>
      <c r="D725" s="134"/>
      <c r="E725" s="134"/>
      <c r="F725" s="134"/>
      <c r="G725" s="134"/>
      <c r="H725" s="134"/>
      <c r="I725" s="134"/>
    </row>
    <row r="726" ht="15.75" customHeight="1">
      <c r="A726" s="133"/>
      <c r="C726" s="134"/>
      <c r="D726" s="134"/>
      <c r="E726" s="134"/>
      <c r="F726" s="134"/>
      <c r="G726" s="134"/>
      <c r="H726" s="134"/>
      <c r="I726" s="134"/>
    </row>
    <row r="727" ht="15.75" customHeight="1">
      <c r="A727" s="133"/>
      <c r="C727" s="134"/>
      <c r="D727" s="134"/>
      <c r="E727" s="134"/>
      <c r="F727" s="134"/>
      <c r="G727" s="134"/>
      <c r="H727" s="134"/>
      <c r="I727" s="134"/>
    </row>
    <row r="728" ht="15.75" customHeight="1">
      <c r="A728" s="133"/>
      <c r="C728" s="134"/>
      <c r="D728" s="134"/>
      <c r="E728" s="134"/>
      <c r="F728" s="134"/>
      <c r="G728" s="134"/>
      <c r="H728" s="134"/>
      <c r="I728" s="134"/>
    </row>
    <row r="729" ht="15.75" customHeight="1">
      <c r="A729" s="133"/>
      <c r="C729" s="134"/>
      <c r="D729" s="134"/>
      <c r="E729" s="134"/>
      <c r="F729" s="134"/>
      <c r="G729" s="134"/>
      <c r="H729" s="134"/>
      <c r="I729" s="134"/>
    </row>
    <row r="730" ht="15.75" customHeight="1">
      <c r="A730" s="133"/>
      <c r="C730" s="134"/>
      <c r="D730" s="134"/>
      <c r="E730" s="134"/>
      <c r="F730" s="134"/>
      <c r="G730" s="134"/>
      <c r="H730" s="134"/>
      <c r="I730" s="134"/>
    </row>
    <row r="731" ht="15.75" customHeight="1">
      <c r="A731" s="133"/>
      <c r="C731" s="134"/>
      <c r="D731" s="134"/>
      <c r="E731" s="134"/>
      <c r="F731" s="134"/>
      <c r="G731" s="134"/>
      <c r="H731" s="134"/>
      <c r="I731" s="134"/>
    </row>
    <row r="732" ht="15.75" customHeight="1">
      <c r="A732" s="133"/>
      <c r="C732" s="134"/>
      <c r="D732" s="134"/>
      <c r="E732" s="134"/>
      <c r="F732" s="134"/>
      <c r="G732" s="134"/>
      <c r="H732" s="134"/>
      <c r="I732" s="134"/>
    </row>
    <row r="733" ht="15.75" customHeight="1">
      <c r="A733" s="133"/>
      <c r="C733" s="134"/>
      <c r="D733" s="134"/>
      <c r="E733" s="134"/>
      <c r="F733" s="134"/>
      <c r="G733" s="134"/>
      <c r="H733" s="134"/>
      <c r="I733" s="134"/>
    </row>
    <row r="734" ht="15.75" customHeight="1">
      <c r="A734" s="133"/>
      <c r="C734" s="134"/>
      <c r="D734" s="134"/>
      <c r="E734" s="134"/>
      <c r="F734" s="134"/>
      <c r="G734" s="134"/>
      <c r="H734" s="134"/>
      <c r="I734" s="134"/>
    </row>
    <row r="735" ht="15.75" customHeight="1">
      <c r="A735" s="133"/>
      <c r="C735" s="134"/>
      <c r="D735" s="134"/>
      <c r="E735" s="134"/>
      <c r="F735" s="134"/>
      <c r="G735" s="134"/>
      <c r="H735" s="134"/>
      <c r="I735" s="134"/>
    </row>
    <row r="736" ht="15.75" customHeight="1">
      <c r="A736" s="133"/>
      <c r="C736" s="134"/>
      <c r="D736" s="134"/>
      <c r="E736" s="134"/>
      <c r="F736" s="134"/>
      <c r="G736" s="134"/>
      <c r="H736" s="134"/>
      <c r="I736" s="134"/>
    </row>
    <row r="737" ht="15.75" customHeight="1">
      <c r="A737" s="133"/>
      <c r="C737" s="134"/>
      <c r="D737" s="134"/>
      <c r="E737" s="134"/>
      <c r="F737" s="134"/>
      <c r="G737" s="134"/>
      <c r="H737" s="134"/>
      <c r="I737" s="134"/>
    </row>
    <row r="738" ht="15.75" customHeight="1">
      <c r="A738" s="133"/>
      <c r="C738" s="134"/>
      <c r="D738" s="134"/>
      <c r="E738" s="134"/>
      <c r="F738" s="134"/>
      <c r="G738" s="134"/>
      <c r="H738" s="134"/>
      <c r="I738" s="134"/>
    </row>
    <row r="739" ht="15.75" customHeight="1">
      <c r="A739" s="133"/>
      <c r="C739" s="134"/>
      <c r="D739" s="134"/>
      <c r="E739" s="134"/>
      <c r="F739" s="134"/>
      <c r="G739" s="134"/>
      <c r="H739" s="134"/>
      <c r="I739" s="134"/>
    </row>
    <row r="740" ht="15.75" customHeight="1">
      <c r="A740" s="133"/>
      <c r="C740" s="134"/>
      <c r="D740" s="134"/>
      <c r="E740" s="134"/>
      <c r="F740" s="134"/>
      <c r="G740" s="134"/>
      <c r="H740" s="134"/>
      <c r="I740" s="134"/>
    </row>
    <row r="741" ht="15.75" customHeight="1">
      <c r="A741" s="133"/>
      <c r="C741" s="134"/>
      <c r="D741" s="134"/>
      <c r="E741" s="134"/>
      <c r="F741" s="134"/>
      <c r="G741" s="134"/>
      <c r="H741" s="134"/>
      <c r="I741" s="134"/>
    </row>
    <row r="742" ht="15.75" customHeight="1">
      <c r="A742" s="133"/>
      <c r="C742" s="134"/>
      <c r="D742" s="134"/>
      <c r="E742" s="134"/>
      <c r="F742" s="134"/>
      <c r="G742" s="134"/>
      <c r="H742" s="134"/>
      <c r="I742" s="134"/>
    </row>
    <row r="743" ht="15.75" customHeight="1">
      <c r="A743" s="133"/>
      <c r="C743" s="134"/>
      <c r="D743" s="134"/>
      <c r="E743" s="134"/>
      <c r="F743" s="134"/>
      <c r="G743" s="134"/>
      <c r="H743" s="134"/>
      <c r="I743" s="134"/>
    </row>
    <row r="744" ht="15.75" customHeight="1">
      <c r="A744" s="133"/>
      <c r="C744" s="134"/>
      <c r="D744" s="134"/>
      <c r="E744" s="134"/>
      <c r="F744" s="134"/>
      <c r="G744" s="134"/>
      <c r="H744" s="134"/>
      <c r="I744" s="134"/>
    </row>
    <row r="745" ht="15.75" customHeight="1">
      <c r="A745" s="133"/>
      <c r="C745" s="134"/>
      <c r="D745" s="134"/>
      <c r="E745" s="134"/>
      <c r="F745" s="134"/>
      <c r="G745" s="134"/>
      <c r="H745" s="134"/>
      <c r="I745" s="134"/>
    </row>
    <row r="746" ht="15.75" customHeight="1">
      <c r="A746" s="133"/>
      <c r="C746" s="134"/>
      <c r="D746" s="134"/>
      <c r="E746" s="134"/>
      <c r="F746" s="134"/>
      <c r="G746" s="134"/>
      <c r="H746" s="134"/>
      <c r="I746" s="134"/>
    </row>
    <row r="747" ht="15.75" customHeight="1">
      <c r="A747" s="133"/>
      <c r="C747" s="134"/>
      <c r="D747" s="134"/>
      <c r="E747" s="134"/>
      <c r="F747" s="134"/>
      <c r="G747" s="134"/>
      <c r="H747" s="134"/>
      <c r="I747" s="134"/>
    </row>
    <row r="748" ht="15.75" customHeight="1">
      <c r="A748" s="133"/>
      <c r="C748" s="134"/>
      <c r="D748" s="134"/>
      <c r="E748" s="134"/>
      <c r="F748" s="134"/>
      <c r="G748" s="134"/>
      <c r="H748" s="134"/>
      <c r="I748" s="134"/>
    </row>
    <row r="749" ht="15.75" customHeight="1">
      <c r="A749" s="133"/>
      <c r="C749" s="134"/>
      <c r="D749" s="134"/>
      <c r="E749" s="134"/>
      <c r="F749" s="134"/>
      <c r="G749" s="134"/>
      <c r="H749" s="134"/>
      <c r="I749" s="134"/>
    </row>
    <row r="750" ht="15.75" customHeight="1">
      <c r="A750" s="133"/>
      <c r="C750" s="134"/>
      <c r="D750" s="134"/>
      <c r="E750" s="134"/>
      <c r="F750" s="134"/>
      <c r="G750" s="134"/>
      <c r="H750" s="134"/>
      <c r="I750" s="134"/>
    </row>
    <row r="751" ht="15.75" customHeight="1">
      <c r="A751" s="133"/>
      <c r="C751" s="134"/>
      <c r="D751" s="134"/>
      <c r="E751" s="134"/>
      <c r="F751" s="134"/>
      <c r="G751" s="134"/>
      <c r="H751" s="134"/>
      <c r="I751" s="134"/>
    </row>
    <row r="752" ht="15.75" customHeight="1">
      <c r="A752" s="133"/>
      <c r="C752" s="134"/>
      <c r="D752" s="134"/>
      <c r="E752" s="134"/>
      <c r="F752" s="134"/>
      <c r="G752" s="134"/>
      <c r="H752" s="134"/>
      <c r="I752" s="134"/>
    </row>
    <row r="753" ht="15.75" customHeight="1">
      <c r="A753" s="133"/>
      <c r="C753" s="134"/>
      <c r="D753" s="134"/>
      <c r="E753" s="134"/>
      <c r="F753" s="134"/>
      <c r="G753" s="134"/>
      <c r="H753" s="134"/>
      <c r="I753" s="134"/>
    </row>
    <row r="754" ht="15.75" customHeight="1">
      <c r="A754" s="133"/>
      <c r="C754" s="134"/>
      <c r="D754" s="134"/>
      <c r="E754" s="134"/>
      <c r="F754" s="134"/>
      <c r="G754" s="134"/>
      <c r="H754" s="134"/>
      <c r="I754" s="134"/>
    </row>
    <row r="755" ht="15.75" customHeight="1">
      <c r="A755" s="133"/>
      <c r="C755" s="134"/>
      <c r="D755" s="134"/>
      <c r="E755" s="134"/>
      <c r="F755" s="134"/>
      <c r="G755" s="134"/>
      <c r="H755" s="134"/>
      <c r="I755" s="134"/>
    </row>
    <row r="756" ht="15.75" customHeight="1">
      <c r="A756" s="133"/>
      <c r="C756" s="134"/>
      <c r="D756" s="134"/>
      <c r="E756" s="134"/>
      <c r="F756" s="134"/>
      <c r="G756" s="134"/>
      <c r="H756" s="134"/>
      <c r="I756" s="134"/>
    </row>
    <row r="757" ht="15.75" customHeight="1">
      <c r="A757" s="133"/>
      <c r="C757" s="134"/>
      <c r="D757" s="134"/>
      <c r="E757" s="134"/>
      <c r="F757" s="134"/>
      <c r="G757" s="134"/>
      <c r="H757" s="134"/>
      <c r="I757" s="134"/>
    </row>
    <row r="758" ht="15.75" customHeight="1">
      <c r="A758" s="133"/>
      <c r="C758" s="134"/>
      <c r="D758" s="134"/>
      <c r="E758" s="134"/>
      <c r="F758" s="134"/>
      <c r="G758" s="134"/>
      <c r="H758" s="134"/>
      <c r="I758" s="134"/>
    </row>
    <row r="759" ht="15.75" customHeight="1">
      <c r="A759" s="133"/>
      <c r="C759" s="134"/>
      <c r="D759" s="134"/>
      <c r="E759" s="134"/>
      <c r="F759" s="134"/>
      <c r="G759" s="134"/>
      <c r="H759" s="134"/>
      <c r="I759" s="134"/>
    </row>
    <row r="760" ht="15.75" customHeight="1">
      <c r="A760" s="133"/>
      <c r="C760" s="134"/>
      <c r="D760" s="134"/>
      <c r="E760" s="134"/>
      <c r="F760" s="134"/>
      <c r="G760" s="134"/>
      <c r="H760" s="134"/>
      <c r="I760" s="134"/>
    </row>
    <row r="761" ht="15.75" customHeight="1">
      <c r="A761" s="133"/>
      <c r="C761" s="134"/>
      <c r="D761" s="134"/>
      <c r="E761" s="134"/>
      <c r="F761" s="134"/>
      <c r="G761" s="134"/>
      <c r="H761" s="134"/>
      <c r="I761" s="134"/>
    </row>
    <row r="762" ht="15.75" customHeight="1">
      <c r="A762" s="133"/>
      <c r="C762" s="134"/>
      <c r="D762" s="134"/>
      <c r="E762" s="134"/>
      <c r="F762" s="134"/>
      <c r="G762" s="134"/>
      <c r="H762" s="134"/>
      <c r="I762" s="134"/>
    </row>
    <row r="763" ht="15.75" customHeight="1">
      <c r="A763" s="133"/>
      <c r="C763" s="134"/>
      <c r="D763" s="134"/>
      <c r="E763" s="134"/>
      <c r="F763" s="134"/>
      <c r="G763" s="134"/>
      <c r="H763" s="134"/>
      <c r="I763" s="134"/>
    </row>
    <row r="764" ht="15.75" customHeight="1">
      <c r="A764" s="133"/>
      <c r="C764" s="134"/>
      <c r="D764" s="134"/>
      <c r="E764" s="134"/>
      <c r="F764" s="134"/>
      <c r="G764" s="134"/>
      <c r="H764" s="134"/>
      <c r="I764" s="134"/>
    </row>
    <row r="765" ht="15.75" customHeight="1">
      <c r="A765" s="133"/>
      <c r="C765" s="134"/>
      <c r="D765" s="134"/>
      <c r="E765" s="134"/>
      <c r="F765" s="134"/>
      <c r="G765" s="134"/>
      <c r="H765" s="134"/>
      <c r="I765" s="134"/>
    </row>
    <row r="766" ht="15.75" customHeight="1">
      <c r="A766" s="133"/>
      <c r="C766" s="134"/>
      <c r="D766" s="134"/>
      <c r="E766" s="134"/>
      <c r="F766" s="134"/>
      <c r="G766" s="134"/>
      <c r="H766" s="134"/>
      <c r="I766" s="134"/>
    </row>
    <row r="767" ht="15.75" customHeight="1">
      <c r="A767" s="133"/>
      <c r="C767" s="134"/>
      <c r="D767" s="134"/>
      <c r="E767" s="134"/>
      <c r="F767" s="134"/>
      <c r="G767" s="134"/>
      <c r="H767" s="134"/>
      <c r="I767" s="134"/>
    </row>
    <row r="768" ht="15.75" customHeight="1">
      <c r="A768" s="133"/>
      <c r="C768" s="134"/>
      <c r="D768" s="134"/>
      <c r="E768" s="134"/>
      <c r="F768" s="134"/>
      <c r="G768" s="134"/>
      <c r="H768" s="134"/>
      <c r="I768" s="134"/>
    </row>
    <row r="769" ht="15.75" customHeight="1">
      <c r="A769" s="133"/>
      <c r="C769" s="134"/>
      <c r="D769" s="134"/>
      <c r="E769" s="134"/>
      <c r="F769" s="134"/>
      <c r="G769" s="134"/>
      <c r="H769" s="134"/>
      <c r="I769" s="134"/>
    </row>
    <row r="770" ht="15.75" customHeight="1">
      <c r="A770" s="133"/>
      <c r="C770" s="134"/>
      <c r="D770" s="134"/>
      <c r="E770" s="134"/>
      <c r="F770" s="134"/>
      <c r="G770" s="134"/>
      <c r="H770" s="134"/>
      <c r="I770" s="134"/>
    </row>
    <row r="771" ht="15.75" customHeight="1">
      <c r="A771" s="133"/>
      <c r="C771" s="134"/>
      <c r="D771" s="134"/>
      <c r="E771" s="134"/>
      <c r="F771" s="134"/>
      <c r="G771" s="134"/>
      <c r="H771" s="134"/>
      <c r="I771" s="134"/>
    </row>
    <row r="772" ht="15.75" customHeight="1">
      <c r="A772" s="133"/>
      <c r="C772" s="134"/>
      <c r="D772" s="134"/>
      <c r="E772" s="134"/>
      <c r="F772" s="134"/>
      <c r="G772" s="134"/>
      <c r="H772" s="134"/>
      <c r="I772" s="134"/>
    </row>
    <row r="773" ht="15.75" customHeight="1">
      <c r="A773" s="133"/>
      <c r="C773" s="134"/>
      <c r="D773" s="134"/>
      <c r="E773" s="134"/>
      <c r="F773" s="134"/>
      <c r="G773" s="134"/>
      <c r="H773" s="134"/>
      <c r="I773" s="134"/>
    </row>
    <row r="774" ht="15.75" customHeight="1">
      <c r="A774" s="133"/>
      <c r="C774" s="134"/>
      <c r="D774" s="134"/>
      <c r="E774" s="134"/>
      <c r="F774" s="134"/>
      <c r="G774" s="134"/>
      <c r="H774" s="134"/>
      <c r="I774" s="134"/>
    </row>
    <row r="775" ht="15.75" customHeight="1">
      <c r="A775" s="133"/>
      <c r="C775" s="134"/>
      <c r="D775" s="134"/>
      <c r="E775" s="134"/>
      <c r="F775" s="134"/>
      <c r="G775" s="134"/>
      <c r="H775" s="134"/>
      <c r="I775" s="134"/>
    </row>
    <row r="776" ht="15.75" customHeight="1">
      <c r="A776" s="133"/>
      <c r="C776" s="134"/>
      <c r="D776" s="134"/>
      <c r="E776" s="134"/>
      <c r="F776" s="134"/>
      <c r="G776" s="134"/>
      <c r="H776" s="134"/>
      <c r="I776" s="134"/>
    </row>
    <row r="777" ht="15.75" customHeight="1">
      <c r="A777" s="133"/>
      <c r="C777" s="134"/>
      <c r="D777" s="134"/>
      <c r="E777" s="134"/>
      <c r="F777" s="134"/>
      <c r="G777" s="134"/>
      <c r="H777" s="134"/>
      <c r="I777" s="134"/>
    </row>
    <row r="778" ht="15.75" customHeight="1">
      <c r="A778" s="133"/>
      <c r="C778" s="134"/>
      <c r="D778" s="134"/>
      <c r="E778" s="134"/>
      <c r="F778" s="134"/>
      <c r="G778" s="134"/>
      <c r="H778" s="134"/>
      <c r="I778" s="134"/>
    </row>
    <row r="779" ht="15.75" customHeight="1">
      <c r="A779" s="133"/>
      <c r="C779" s="134"/>
      <c r="D779" s="134"/>
      <c r="E779" s="134"/>
      <c r="F779" s="134"/>
      <c r="G779" s="134"/>
      <c r="H779" s="134"/>
      <c r="I779" s="134"/>
    </row>
    <row r="780" ht="15.75" customHeight="1">
      <c r="A780" s="133"/>
      <c r="C780" s="134"/>
      <c r="D780" s="134"/>
      <c r="E780" s="134"/>
      <c r="F780" s="134"/>
      <c r="G780" s="134"/>
      <c r="H780" s="134"/>
      <c r="I780" s="134"/>
    </row>
    <row r="781" ht="15.75" customHeight="1">
      <c r="A781" s="133"/>
      <c r="C781" s="134"/>
      <c r="D781" s="134"/>
      <c r="E781" s="134"/>
      <c r="F781" s="134"/>
      <c r="G781" s="134"/>
      <c r="H781" s="134"/>
      <c r="I781" s="134"/>
    </row>
    <row r="782" ht="15.75" customHeight="1">
      <c r="A782" s="133"/>
      <c r="C782" s="134"/>
      <c r="D782" s="134"/>
      <c r="E782" s="134"/>
      <c r="F782" s="134"/>
      <c r="G782" s="134"/>
      <c r="H782" s="134"/>
      <c r="I782" s="134"/>
    </row>
    <row r="783" ht="15.75" customHeight="1">
      <c r="A783" s="133"/>
      <c r="C783" s="134"/>
      <c r="D783" s="134"/>
      <c r="E783" s="134"/>
      <c r="F783" s="134"/>
      <c r="G783" s="134"/>
      <c r="H783" s="134"/>
      <c r="I783" s="134"/>
    </row>
    <row r="784" ht="15.75" customHeight="1">
      <c r="A784" s="133"/>
      <c r="C784" s="134"/>
      <c r="D784" s="134"/>
      <c r="E784" s="134"/>
      <c r="F784" s="134"/>
      <c r="G784" s="134"/>
      <c r="H784" s="134"/>
      <c r="I784" s="134"/>
    </row>
    <row r="785" ht="15.75" customHeight="1">
      <c r="A785" s="133"/>
      <c r="C785" s="134"/>
      <c r="D785" s="134"/>
      <c r="E785" s="134"/>
      <c r="F785" s="134"/>
      <c r="G785" s="134"/>
      <c r="H785" s="134"/>
      <c r="I785" s="134"/>
    </row>
    <row r="786" ht="15.75" customHeight="1">
      <c r="A786" s="133"/>
      <c r="C786" s="134"/>
      <c r="D786" s="134"/>
      <c r="E786" s="134"/>
      <c r="F786" s="134"/>
      <c r="G786" s="134"/>
      <c r="H786" s="134"/>
      <c r="I786" s="134"/>
    </row>
    <row r="787" ht="15.75" customHeight="1">
      <c r="A787" s="133"/>
      <c r="C787" s="134"/>
      <c r="D787" s="134"/>
      <c r="E787" s="134"/>
      <c r="F787" s="134"/>
      <c r="G787" s="134"/>
      <c r="H787" s="134"/>
      <c r="I787" s="134"/>
    </row>
    <row r="788" ht="15.75" customHeight="1">
      <c r="A788" s="133"/>
      <c r="C788" s="134"/>
      <c r="D788" s="134"/>
      <c r="E788" s="134"/>
      <c r="F788" s="134"/>
      <c r="G788" s="134"/>
      <c r="H788" s="134"/>
      <c r="I788" s="134"/>
    </row>
    <row r="789" ht="15.75" customHeight="1">
      <c r="A789" s="133"/>
      <c r="C789" s="134"/>
      <c r="D789" s="134"/>
      <c r="E789" s="134"/>
      <c r="F789" s="134"/>
      <c r="G789" s="134"/>
      <c r="H789" s="134"/>
      <c r="I789" s="134"/>
    </row>
    <row r="790" ht="15.75" customHeight="1">
      <c r="A790" s="133"/>
      <c r="C790" s="134"/>
      <c r="D790" s="134"/>
      <c r="E790" s="134"/>
      <c r="F790" s="134"/>
      <c r="G790" s="134"/>
      <c r="H790" s="134"/>
      <c r="I790" s="134"/>
    </row>
    <row r="791" ht="15.75" customHeight="1">
      <c r="A791" s="133"/>
      <c r="C791" s="134"/>
      <c r="D791" s="134"/>
      <c r="E791" s="134"/>
      <c r="F791" s="134"/>
      <c r="G791" s="134"/>
      <c r="H791" s="134"/>
      <c r="I791" s="134"/>
    </row>
    <row r="792" ht="15.75" customHeight="1">
      <c r="A792" s="133"/>
      <c r="C792" s="134"/>
      <c r="D792" s="134"/>
      <c r="E792" s="134"/>
      <c r="F792" s="134"/>
      <c r="G792" s="134"/>
      <c r="H792" s="134"/>
      <c r="I792" s="134"/>
    </row>
    <row r="793" ht="15.75" customHeight="1">
      <c r="A793" s="133"/>
      <c r="C793" s="134"/>
      <c r="D793" s="134"/>
      <c r="E793" s="134"/>
      <c r="F793" s="134"/>
      <c r="G793" s="134"/>
      <c r="H793" s="134"/>
      <c r="I793" s="134"/>
    </row>
    <row r="794" ht="15.75" customHeight="1">
      <c r="A794" s="133"/>
      <c r="C794" s="134"/>
      <c r="D794" s="134"/>
      <c r="E794" s="134"/>
      <c r="F794" s="134"/>
      <c r="G794" s="134"/>
      <c r="H794" s="134"/>
      <c r="I794" s="134"/>
    </row>
    <row r="795" ht="15.75" customHeight="1">
      <c r="A795" s="133"/>
      <c r="C795" s="134"/>
      <c r="D795" s="134"/>
      <c r="E795" s="134"/>
      <c r="F795" s="134"/>
      <c r="G795" s="134"/>
      <c r="H795" s="134"/>
      <c r="I795" s="134"/>
    </row>
    <row r="796" ht="15.75" customHeight="1">
      <c r="A796" s="133"/>
      <c r="C796" s="134"/>
      <c r="D796" s="134"/>
      <c r="E796" s="134"/>
      <c r="F796" s="134"/>
      <c r="G796" s="134"/>
      <c r="H796" s="134"/>
      <c r="I796" s="134"/>
    </row>
    <row r="797" ht="15.75" customHeight="1">
      <c r="A797" s="133"/>
      <c r="C797" s="134"/>
      <c r="D797" s="134"/>
      <c r="E797" s="134"/>
      <c r="F797" s="134"/>
      <c r="G797" s="134"/>
      <c r="H797" s="134"/>
      <c r="I797" s="134"/>
    </row>
    <row r="798" ht="15.75" customHeight="1">
      <c r="A798" s="133"/>
      <c r="C798" s="134"/>
      <c r="D798" s="134"/>
      <c r="E798" s="134"/>
      <c r="F798" s="134"/>
      <c r="G798" s="134"/>
      <c r="H798" s="134"/>
      <c r="I798" s="134"/>
    </row>
    <row r="799" ht="15.75" customHeight="1">
      <c r="A799" s="133"/>
      <c r="C799" s="134"/>
      <c r="D799" s="134"/>
      <c r="E799" s="134"/>
      <c r="F799" s="134"/>
      <c r="G799" s="134"/>
      <c r="H799" s="134"/>
      <c r="I799" s="134"/>
    </row>
    <row r="800" ht="15.75" customHeight="1">
      <c r="A800" s="133"/>
      <c r="C800" s="134"/>
      <c r="D800" s="134"/>
      <c r="E800" s="134"/>
      <c r="F800" s="134"/>
      <c r="G800" s="134"/>
      <c r="H800" s="134"/>
      <c r="I800" s="134"/>
    </row>
    <row r="801" ht="15.75" customHeight="1">
      <c r="A801" s="133"/>
      <c r="C801" s="134"/>
      <c r="D801" s="134"/>
      <c r="E801" s="134"/>
      <c r="F801" s="134"/>
      <c r="G801" s="134"/>
      <c r="H801" s="134"/>
      <c r="I801" s="134"/>
    </row>
    <row r="802" ht="15.75" customHeight="1">
      <c r="A802" s="133"/>
      <c r="C802" s="134"/>
      <c r="D802" s="134"/>
      <c r="E802" s="134"/>
      <c r="F802" s="134"/>
      <c r="G802" s="134"/>
      <c r="H802" s="134"/>
      <c r="I802" s="134"/>
    </row>
    <row r="803" ht="15.75" customHeight="1">
      <c r="A803" s="133"/>
      <c r="C803" s="134"/>
      <c r="D803" s="134"/>
      <c r="E803" s="134"/>
      <c r="F803" s="134"/>
      <c r="G803" s="134"/>
      <c r="H803" s="134"/>
      <c r="I803" s="134"/>
    </row>
    <row r="804" ht="15.75" customHeight="1">
      <c r="A804" s="133"/>
      <c r="C804" s="134"/>
      <c r="D804" s="134"/>
      <c r="E804" s="134"/>
      <c r="F804" s="134"/>
      <c r="G804" s="134"/>
      <c r="H804" s="134"/>
      <c r="I804" s="134"/>
    </row>
    <row r="805" ht="15.75" customHeight="1">
      <c r="A805" s="133"/>
      <c r="C805" s="134"/>
      <c r="D805" s="134"/>
      <c r="E805" s="134"/>
      <c r="F805" s="134"/>
      <c r="G805" s="134"/>
      <c r="H805" s="134"/>
      <c r="I805" s="134"/>
    </row>
    <row r="806" ht="15.75" customHeight="1">
      <c r="A806" s="133"/>
      <c r="C806" s="134"/>
      <c r="D806" s="134"/>
      <c r="E806" s="134"/>
      <c r="F806" s="134"/>
      <c r="G806" s="134"/>
      <c r="H806" s="134"/>
      <c r="I806" s="134"/>
    </row>
    <row r="807" ht="15.75" customHeight="1">
      <c r="A807" s="133"/>
      <c r="C807" s="134"/>
      <c r="D807" s="134"/>
      <c r="E807" s="134"/>
      <c r="F807" s="134"/>
      <c r="G807" s="134"/>
      <c r="H807" s="134"/>
      <c r="I807" s="134"/>
    </row>
    <row r="808" ht="15.75" customHeight="1">
      <c r="A808" s="133"/>
      <c r="C808" s="134"/>
      <c r="D808" s="134"/>
      <c r="E808" s="134"/>
      <c r="F808" s="134"/>
      <c r="G808" s="134"/>
      <c r="H808" s="134"/>
      <c r="I808" s="134"/>
    </row>
    <row r="809" ht="15.75" customHeight="1">
      <c r="A809" s="133"/>
      <c r="C809" s="134"/>
      <c r="D809" s="134"/>
      <c r="E809" s="134"/>
      <c r="F809" s="134"/>
      <c r="G809" s="134"/>
      <c r="H809" s="134"/>
      <c r="I809" s="134"/>
    </row>
    <row r="810" ht="15.75" customHeight="1">
      <c r="A810" s="133"/>
      <c r="C810" s="134"/>
      <c r="D810" s="134"/>
      <c r="E810" s="134"/>
      <c r="F810" s="134"/>
      <c r="G810" s="134"/>
      <c r="H810" s="134"/>
      <c r="I810" s="134"/>
    </row>
    <row r="811" ht="15.75" customHeight="1">
      <c r="A811" s="133"/>
      <c r="C811" s="134"/>
      <c r="D811" s="134"/>
      <c r="E811" s="134"/>
      <c r="F811" s="134"/>
      <c r="G811" s="134"/>
      <c r="H811" s="134"/>
      <c r="I811" s="134"/>
    </row>
    <row r="812" ht="15.75" customHeight="1">
      <c r="A812" s="133"/>
      <c r="C812" s="134"/>
      <c r="D812" s="134"/>
      <c r="E812" s="134"/>
      <c r="F812" s="134"/>
      <c r="G812" s="134"/>
      <c r="H812" s="134"/>
      <c r="I812" s="134"/>
    </row>
    <row r="813" ht="15.75" customHeight="1">
      <c r="A813" s="133"/>
      <c r="C813" s="134"/>
      <c r="D813" s="134"/>
      <c r="E813" s="134"/>
      <c r="F813" s="134"/>
      <c r="G813" s="134"/>
      <c r="H813" s="134"/>
      <c r="I813" s="134"/>
    </row>
    <row r="814" ht="15.75" customHeight="1">
      <c r="A814" s="133"/>
      <c r="C814" s="134"/>
      <c r="D814" s="134"/>
      <c r="E814" s="134"/>
      <c r="F814" s="134"/>
      <c r="G814" s="134"/>
      <c r="H814" s="134"/>
      <c r="I814" s="134"/>
    </row>
    <row r="815" ht="15.75" customHeight="1">
      <c r="A815" s="133"/>
      <c r="C815" s="134"/>
      <c r="D815" s="134"/>
      <c r="E815" s="134"/>
      <c r="F815" s="134"/>
      <c r="G815" s="134"/>
      <c r="H815" s="134"/>
      <c r="I815" s="134"/>
    </row>
    <row r="816" ht="15.75" customHeight="1">
      <c r="A816" s="133"/>
      <c r="C816" s="134"/>
      <c r="D816" s="134"/>
      <c r="E816" s="134"/>
      <c r="F816" s="134"/>
      <c r="G816" s="134"/>
      <c r="H816" s="134"/>
      <c r="I816" s="134"/>
    </row>
    <row r="817" ht="15.75" customHeight="1">
      <c r="A817" s="133"/>
      <c r="C817" s="134"/>
      <c r="D817" s="134"/>
      <c r="E817" s="134"/>
      <c r="F817" s="134"/>
      <c r="G817" s="134"/>
      <c r="H817" s="134"/>
      <c r="I817" s="134"/>
    </row>
    <row r="818" ht="15.75" customHeight="1">
      <c r="A818" s="133"/>
      <c r="C818" s="134"/>
      <c r="D818" s="134"/>
      <c r="E818" s="134"/>
      <c r="F818" s="134"/>
      <c r="G818" s="134"/>
      <c r="H818" s="134"/>
      <c r="I818" s="134"/>
    </row>
    <row r="819" ht="15.75" customHeight="1">
      <c r="A819" s="133"/>
      <c r="C819" s="134"/>
      <c r="D819" s="134"/>
      <c r="E819" s="134"/>
      <c r="F819" s="134"/>
      <c r="G819" s="134"/>
      <c r="H819" s="134"/>
      <c r="I819" s="134"/>
    </row>
    <row r="820" ht="15.75" customHeight="1">
      <c r="A820" s="133"/>
      <c r="C820" s="134"/>
      <c r="D820" s="134"/>
      <c r="E820" s="134"/>
      <c r="F820" s="134"/>
      <c r="G820" s="134"/>
      <c r="H820" s="134"/>
      <c r="I820" s="134"/>
    </row>
    <row r="821" ht="15.75" customHeight="1">
      <c r="A821" s="133"/>
      <c r="C821" s="134"/>
      <c r="D821" s="134"/>
      <c r="E821" s="134"/>
      <c r="F821" s="134"/>
      <c r="G821" s="134"/>
      <c r="H821" s="134"/>
      <c r="I821" s="134"/>
    </row>
    <row r="822" ht="15.75" customHeight="1">
      <c r="A822" s="133"/>
      <c r="C822" s="134"/>
      <c r="D822" s="134"/>
      <c r="E822" s="134"/>
      <c r="F822" s="134"/>
      <c r="G822" s="134"/>
      <c r="H822" s="134"/>
      <c r="I822" s="134"/>
    </row>
    <row r="823" ht="15.75" customHeight="1">
      <c r="A823" s="133"/>
      <c r="C823" s="134"/>
      <c r="D823" s="134"/>
      <c r="E823" s="134"/>
      <c r="F823" s="134"/>
      <c r="G823" s="134"/>
      <c r="H823" s="134"/>
      <c r="I823" s="134"/>
    </row>
    <row r="824" ht="15.75" customHeight="1">
      <c r="A824" s="133"/>
      <c r="C824" s="134"/>
      <c r="D824" s="134"/>
      <c r="E824" s="134"/>
      <c r="F824" s="134"/>
      <c r="G824" s="134"/>
      <c r="H824" s="134"/>
      <c r="I824" s="134"/>
    </row>
    <row r="825" ht="15.75" customHeight="1">
      <c r="A825" s="133"/>
      <c r="C825" s="134"/>
      <c r="D825" s="134"/>
      <c r="E825" s="134"/>
      <c r="F825" s="134"/>
      <c r="G825" s="134"/>
      <c r="H825" s="134"/>
      <c r="I825" s="134"/>
    </row>
    <row r="826" ht="15.75" customHeight="1">
      <c r="A826" s="133"/>
      <c r="C826" s="134"/>
      <c r="D826" s="134"/>
      <c r="E826" s="134"/>
      <c r="F826" s="134"/>
      <c r="G826" s="134"/>
      <c r="H826" s="134"/>
      <c r="I826" s="134"/>
    </row>
    <row r="827" ht="15.75" customHeight="1">
      <c r="A827" s="133"/>
      <c r="C827" s="134"/>
      <c r="D827" s="134"/>
      <c r="E827" s="134"/>
      <c r="F827" s="134"/>
      <c r="G827" s="134"/>
      <c r="H827" s="134"/>
      <c r="I827" s="134"/>
    </row>
    <row r="828" ht="15.75" customHeight="1">
      <c r="A828" s="133"/>
      <c r="C828" s="134"/>
      <c r="D828" s="134"/>
      <c r="E828" s="134"/>
      <c r="F828" s="134"/>
      <c r="G828" s="134"/>
      <c r="H828" s="134"/>
      <c r="I828" s="134"/>
    </row>
    <row r="829" ht="15.75" customHeight="1">
      <c r="A829" s="133"/>
      <c r="C829" s="134"/>
      <c r="D829" s="134"/>
      <c r="E829" s="134"/>
      <c r="F829" s="134"/>
      <c r="G829" s="134"/>
      <c r="H829" s="134"/>
      <c r="I829" s="134"/>
    </row>
    <row r="830" ht="15.75" customHeight="1">
      <c r="A830" s="133"/>
      <c r="C830" s="134"/>
      <c r="D830" s="134"/>
      <c r="E830" s="134"/>
      <c r="F830" s="134"/>
      <c r="G830" s="134"/>
      <c r="H830" s="134"/>
      <c r="I830" s="134"/>
    </row>
    <row r="831" ht="15.75" customHeight="1">
      <c r="A831" s="133"/>
      <c r="C831" s="134"/>
      <c r="D831" s="134"/>
      <c r="E831" s="134"/>
      <c r="F831" s="134"/>
      <c r="G831" s="134"/>
      <c r="H831" s="134"/>
      <c r="I831" s="134"/>
    </row>
    <row r="832" ht="15.75" customHeight="1">
      <c r="A832" s="133"/>
      <c r="C832" s="134"/>
      <c r="D832" s="134"/>
      <c r="E832" s="134"/>
      <c r="F832" s="134"/>
      <c r="G832" s="134"/>
      <c r="H832" s="134"/>
      <c r="I832" s="134"/>
    </row>
    <row r="833" ht="15.75" customHeight="1">
      <c r="A833" s="133"/>
      <c r="C833" s="134"/>
      <c r="D833" s="134"/>
      <c r="E833" s="134"/>
      <c r="F833" s="134"/>
      <c r="G833" s="134"/>
      <c r="H833" s="134"/>
      <c r="I833" s="134"/>
    </row>
    <row r="834" ht="15.75" customHeight="1">
      <c r="A834" s="133"/>
      <c r="C834" s="134"/>
      <c r="D834" s="134"/>
      <c r="E834" s="134"/>
      <c r="F834" s="134"/>
      <c r="G834" s="134"/>
      <c r="H834" s="134"/>
      <c r="I834" s="134"/>
    </row>
    <row r="835" ht="15.75" customHeight="1">
      <c r="A835" s="133"/>
      <c r="C835" s="134"/>
      <c r="D835" s="134"/>
      <c r="E835" s="134"/>
      <c r="F835" s="134"/>
      <c r="G835" s="134"/>
      <c r="H835" s="134"/>
      <c r="I835" s="134"/>
    </row>
    <row r="836" ht="15.75" customHeight="1">
      <c r="A836" s="133"/>
      <c r="C836" s="134"/>
      <c r="D836" s="134"/>
      <c r="E836" s="134"/>
      <c r="F836" s="134"/>
      <c r="G836" s="134"/>
      <c r="H836" s="134"/>
      <c r="I836" s="134"/>
    </row>
    <row r="837" ht="15.75" customHeight="1">
      <c r="A837" s="133"/>
      <c r="C837" s="134"/>
      <c r="D837" s="134"/>
      <c r="E837" s="134"/>
      <c r="F837" s="134"/>
      <c r="G837" s="134"/>
      <c r="H837" s="134"/>
      <c r="I837" s="134"/>
    </row>
    <row r="838" ht="15.75" customHeight="1">
      <c r="A838" s="133"/>
      <c r="C838" s="134"/>
      <c r="D838" s="134"/>
      <c r="E838" s="134"/>
      <c r="F838" s="134"/>
      <c r="G838" s="134"/>
      <c r="H838" s="134"/>
      <c r="I838" s="134"/>
    </row>
    <row r="839" ht="15.75" customHeight="1">
      <c r="A839" s="133"/>
      <c r="C839" s="134"/>
      <c r="D839" s="134"/>
      <c r="E839" s="134"/>
      <c r="F839" s="134"/>
      <c r="G839" s="134"/>
      <c r="H839" s="134"/>
      <c r="I839" s="134"/>
    </row>
    <row r="840" ht="15.75" customHeight="1">
      <c r="A840" s="133"/>
      <c r="C840" s="134"/>
      <c r="D840" s="134"/>
      <c r="E840" s="134"/>
      <c r="F840" s="134"/>
      <c r="G840" s="134"/>
      <c r="H840" s="134"/>
      <c r="I840" s="134"/>
    </row>
    <row r="841" ht="15.75" customHeight="1">
      <c r="A841" s="133"/>
      <c r="C841" s="134"/>
      <c r="D841" s="134"/>
      <c r="E841" s="134"/>
      <c r="F841" s="134"/>
      <c r="G841" s="134"/>
      <c r="H841" s="134"/>
      <c r="I841" s="134"/>
    </row>
    <row r="842" ht="15.75" customHeight="1">
      <c r="A842" s="133"/>
      <c r="C842" s="134"/>
      <c r="D842" s="134"/>
      <c r="E842" s="134"/>
      <c r="F842" s="134"/>
      <c r="G842" s="134"/>
      <c r="H842" s="134"/>
      <c r="I842" s="134"/>
    </row>
    <row r="843" ht="15.75" customHeight="1">
      <c r="A843" s="133"/>
      <c r="C843" s="134"/>
      <c r="D843" s="134"/>
      <c r="E843" s="134"/>
      <c r="F843" s="134"/>
      <c r="G843" s="134"/>
      <c r="H843" s="134"/>
      <c r="I843" s="134"/>
    </row>
    <row r="844" ht="15.75" customHeight="1">
      <c r="A844" s="133"/>
      <c r="C844" s="134"/>
      <c r="D844" s="134"/>
      <c r="E844" s="134"/>
      <c r="F844" s="134"/>
      <c r="G844" s="134"/>
      <c r="H844" s="134"/>
      <c r="I844" s="134"/>
    </row>
    <row r="845" ht="15.75" customHeight="1">
      <c r="A845" s="133"/>
      <c r="C845" s="134"/>
      <c r="D845" s="134"/>
      <c r="E845" s="134"/>
      <c r="F845" s="134"/>
      <c r="G845" s="134"/>
      <c r="H845" s="134"/>
      <c r="I845" s="134"/>
    </row>
    <row r="846" ht="15.75" customHeight="1">
      <c r="A846" s="133"/>
      <c r="C846" s="134"/>
      <c r="D846" s="134"/>
      <c r="E846" s="134"/>
      <c r="F846" s="134"/>
      <c r="G846" s="134"/>
      <c r="H846" s="134"/>
      <c r="I846" s="134"/>
    </row>
    <row r="847" ht="15.75" customHeight="1">
      <c r="A847" s="133"/>
      <c r="C847" s="134"/>
      <c r="D847" s="134"/>
      <c r="E847" s="134"/>
      <c r="F847" s="134"/>
      <c r="G847" s="134"/>
      <c r="H847" s="134"/>
      <c r="I847" s="134"/>
    </row>
    <row r="848" ht="15.75" customHeight="1">
      <c r="A848" s="133"/>
      <c r="C848" s="134"/>
      <c r="D848" s="134"/>
      <c r="E848" s="134"/>
      <c r="F848" s="134"/>
      <c r="G848" s="134"/>
      <c r="H848" s="134"/>
      <c r="I848" s="134"/>
    </row>
    <row r="849" ht="15.75" customHeight="1">
      <c r="A849" s="133"/>
      <c r="C849" s="134"/>
      <c r="D849" s="134"/>
      <c r="E849" s="134"/>
      <c r="F849" s="134"/>
      <c r="G849" s="134"/>
      <c r="H849" s="134"/>
      <c r="I849" s="134"/>
    </row>
    <row r="850" ht="15.75" customHeight="1">
      <c r="A850" s="133"/>
      <c r="C850" s="134"/>
      <c r="D850" s="134"/>
      <c r="E850" s="134"/>
      <c r="F850" s="134"/>
      <c r="G850" s="134"/>
      <c r="H850" s="134"/>
      <c r="I850" s="134"/>
    </row>
    <row r="851" ht="15.75" customHeight="1">
      <c r="A851" s="133"/>
      <c r="C851" s="134"/>
      <c r="D851" s="134"/>
      <c r="E851" s="134"/>
      <c r="F851" s="134"/>
      <c r="G851" s="134"/>
      <c r="H851" s="134"/>
      <c r="I851" s="134"/>
    </row>
    <row r="852" ht="15.75" customHeight="1">
      <c r="A852" s="133"/>
      <c r="C852" s="134"/>
      <c r="D852" s="134"/>
      <c r="E852" s="134"/>
      <c r="F852" s="134"/>
      <c r="G852" s="134"/>
      <c r="H852" s="134"/>
      <c r="I852" s="134"/>
    </row>
    <row r="853" ht="15.75" customHeight="1">
      <c r="A853" s="133"/>
      <c r="C853" s="134"/>
      <c r="D853" s="134"/>
      <c r="E853" s="134"/>
      <c r="F853" s="134"/>
      <c r="G853" s="134"/>
      <c r="H853" s="134"/>
      <c r="I853" s="134"/>
    </row>
    <row r="854" ht="15.75" customHeight="1">
      <c r="A854" s="133"/>
      <c r="C854" s="134"/>
      <c r="D854" s="134"/>
      <c r="E854" s="134"/>
      <c r="F854" s="134"/>
      <c r="G854" s="134"/>
      <c r="H854" s="134"/>
      <c r="I854" s="134"/>
    </row>
    <row r="855" ht="15.75" customHeight="1">
      <c r="A855" s="133"/>
      <c r="C855" s="134"/>
      <c r="D855" s="134"/>
      <c r="E855" s="134"/>
      <c r="F855" s="134"/>
      <c r="G855" s="134"/>
      <c r="H855" s="134"/>
      <c r="I855" s="134"/>
    </row>
    <row r="856" ht="15.75" customHeight="1">
      <c r="A856" s="133"/>
      <c r="C856" s="134"/>
      <c r="D856" s="134"/>
      <c r="E856" s="134"/>
      <c r="F856" s="134"/>
      <c r="G856" s="134"/>
      <c r="H856" s="134"/>
      <c r="I856" s="134"/>
    </row>
    <row r="857" ht="15.75" customHeight="1">
      <c r="A857" s="133"/>
      <c r="C857" s="134"/>
      <c r="D857" s="134"/>
      <c r="E857" s="134"/>
      <c r="F857" s="134"/>
      <c r="G857" s="134"/>
      <c r="H857" s="134"/>
      <c r="I857" s="134"/>
    </row>
    <row r="858" ht="15.75" customHeight="1">
      <c r="A858" s="133"/>
      <c r="C858" s="134"/>
      <c r="D858" s="134"/>
      <c r="E858" s="134"/>
      <c r="F858" s="134"/>
      <c r="G858" s="134"/>
      <c r="H858" s="134"/>
      <c r="I858" s="134"/>
    </row>
    <row r="859" ht="15.75" customHeight="1">
      <c r="A859" s="133"/>
      <c r="C859" s="134"/>
      <c r="D859" s="134"/>
      <c r="E859" s="134"/>
      <c r="F859" s="134"/>
      <c r="G859" s="134"/>
      <c r="H859" s="134"/>
      <c r="I859" s="134"/>
    </row>
    <row r="860" ht="15.75" customHeight="1">
      <c r="A860" s="133"/>
      <c r="C860" s="134"/>
      <c r="D860" s="134"/>
      <c r="E860" s="134"/>
      <c r="F860" s="134"/>
      <c r="G860" s="134"/>
      <c r="H860" s="134"/>
      <c r="I860" s="134"/>
    </row>
    <row r="861" ht="15.75" customHeight="1">
      <c r="A861" s="133"/>
      <c r="C861" s="134"/>
      <c r="D861" s="134"/>
      <c r="E861" s="134"/>
      <c r="F861" s="134"/>
      <c r="G861" s="134"/>
      <c r="H861" s="134"/>
      <c r="I861" s="134"/>
    </row>
    <row r="862" ht="15.75" customHeight="1">
      <c r="A862" s="133"/>
      <c r="C862" s="134"/>
      <c r="D862" s="134"/>
      <c r="E862" s="134"/>
      <c r="F862" s="134"/>
      <c r="G862" s="134"/>
      <c r="H862" s="134"/>
      <c r="I862" s="134"/>
    </row>
    <row r="863" ht="15.75" customHeight="1">
      <c r="A863" s="133"/>
      <c r="C863" s="134"/>
      <c r="D863" s="134"/>
      <c r="E863" s="134"/>
      <c r="F863" s="134"/>
      <c r="G863" s="134"/>
      <c r="H863" s="134"/>
      <c r="I863" s="134"/>
    </row>
    <row r="864" ht="15.75" customHeight="1">
      <c r="A864" s="133"/>
      <c r="C864" s="134"/>
      <c r="D864" s="134"/>
      <c r="E864" s="134"/>
      <c r="F864" s="134"/>
      <c r="G864" s="134"/>
      <c r="H864" s="134"/>
      <c r="I864" s="134"/>
    </row>
    <row r="865" ht="15.75" customHeight="1">
      <c r="A865" s="133"/>
      <c r="C865" s="134"/>
      <c r="D865" s="134"/>
      <c r="E865" s="134"/>
      <c r="F865" s="134"/>
      <c r="G865" s="134"/>
      <c r="H865" s="134"/>
      <c r="I865" s="134"/>
    </row>
    <row r="866" ht="15.75" customHeight="1">
      <c r="A866" s="133"/>
      <c r="C866" s="134"/>
      <c r="D866" s="134"/>
      <c r="E866" s="134"/>
      <c r="F866" s="134"/>
      <c r="G866" s="134"/>
      <c r="H866" s="134"/>
      <c r="I866" s="134"/>
    </row>
    <row r="867" ht="15.75" customHeight="1">
      <c r="A867" s="133"/>
      <c r="C867" s="134"/>
      <c r="D867" s="134"/>
      <c r="E867" s="134"/>
      <c r="F867" s="134"/>
      <c r="G867" s="134"/>
      <c r="H867" s="134"/>
      <c r="I867" s="134"/>
    </row>
    <row r="868" ht="15.75" customHeight="1">
      <c r="A868" s="133"/>
      <c r="C868" s="134"/>
      <c r="D868" s="134"/>
      <c r="E868" s="134"/>
      <c r="F868" s="134"/>
      <c r="G868" s="134"/>
      <c r="H868" s="134"/>
      <c r="I868" s="134"/>
    </row>
    <row r="869" ht="15.75" customHeight="1">
      <c r="A869" s="133"/>
      <c r="C869" s="134"/>
      <c r="D869" s="134"/>
      <c r="E869" s="134"/>
      <c r="F869" s="134"/>
      <c r="G869" s="134"/>
      <c r="H869" s="134"/>
      <c r="I869" s="134"/>
    </row>
    <row r="870" ht="15.75" customHeight="1">
      <c r="A870" s="133"/>
      <c r="C870" s="134"/>
      <c r="D870" s="134"/>
      <c r="E870" s="134"/>
      <c r="F870" s="134"/>
      <c r="G870" s="134"/>
      <c r="H870" s="134"/>
      <c r="I870" s="134"/>
    </row>
    <row r="871" ht="15.75" customHeight="1">
      <c r="A871" s="133"/>
      <c r="C871" s="134"/>
      <c r="D871" s="134"/>
      <c r="E871" s="134"/>
      <c r="F871" s="134"/>
      <c r="G871" s="134"/>
      <c r="H871" s="134"/>
      <c r="I871" s="134"/>
    </row>
    <row r="872" ht="15.75" customHeight="1">
      <c r="A872" s="133"/>
      <c r="C872" s="134"/>
      <c r="D872" s="134"/>
      <c r="E872" s="134"/>
      <c r="F872" s="134"/>
      <c r="G872" s="134"/>
      <c r="H872" s="134"/>
      <c r="I872" s="134"/>
    </row>
    <row r="873" ht="15.75" customHeight="1">
      <c r="A873" s="133"/>
      <c r="C873" s="134"/>
      <c r="D873" s="134"/>
      <c r="E873" s="134"/>
      <c r="F873" s="134"/>
      <c r="G873" s="134"/>
      <c r="H873" s="134"/>
      <c r="I873" s="134"/>
    </row>
    <row r="874" ht="15.75" customHeight="1">
      <c r="A874" s="133"/>
      <c r="C874" s="134"/>
      <c r="D874" s="134"/>
      <c r="E874" s="134"/>
      <c r="F874" s="134"/>
      <c r="G874" s="134"/>
      <c r="H874" s="134"/>
      <c r="I874" s="134"/>
    </row>
    <row r="875" ht="15.75" customHeight="1">
      <c r="A875" s="133"/>
      <c r="C875" s="134"/>
      <c r="D875" s="134"/>
      <c r="E875" s="134"/>
      <c r="F875" s="134"/>
      <c r="G875" s="134"/>
      <c r="H875" s="134"/>
      <c r="I875" s="134"/>
    </row>
    <row r="876" ht="15.75" customHeight="1">
      <c r="A876" s="133"/>
      <c r="C876" s="134"/>
      <c r="D876" s="134"/>
      <c r="E876" s="134"/>
      <c r="F876" s="134"/>
      <c r="G876" s="134"/>
      <c r="H876" s="134"/>
      <c r="I876" s="134"/>
    </row>
    <row r="877" ht="15.75" customHeight="1">
      <c r="A877" s="133"/>
      <c r="C877" s="134"/>
      <c r="D877" s="134"/>
      <c r="E877" s="134"/>
      <c r="F877" s="134"/>
      <c r="G877" s="134"/>
      <c r="H877" s="134"/>
      <c r="I877" s="134"/>
    </row>
    <row r="878" ht="15.75" customHeight="1">
      <c r="A878" s="133"/>
      <c r="C878" s="134"/>
      <c r="D878" s="134"/>
      <c r="E878" s="134"/>
      <c r="F878" s="134"/>
      <c r="G878" s="134"/>
      <c r="H878" s="134"/>
      <c r="I878" s="134"/>
    </row>
    <row r="879" ht="15.75" customHeight="1">
      <c r="A879" s="133"/>
      <c r="C879" s="134"/>
      <c r="D879" s="134"/>
      <c r="E879" s="134"/>
      <c r="F879" s="134"/>
      <c r="G879" s="134"/>
      <c r="H879" s="134"/>
      <c r="I879" s="134"/>
    </row>
    <row r="880" ht="15.75" customHeight="1">
      <c r="A880" s="133"/>
      <c r="C880" s="134"/>
      <c r="D880" s="134"/>
      <c r="E880" s="134"/>
      <c r="F880" s="134"/>
      <c r="G880" s="134"/>
      <c r="H880" s="134"/>
      <c r="I880" s="134"/>
    </row>
    <row r="881" ht="15.75" customHeight="1">
      <c r="A881" s="133"/>
      <c r="C881" s="134"/>
      <c r="D881" s="134"/>
      <c r="E881" s="134"/>
      <c r="F881" s="134"/>
      <c r="G881" s="134"/>
      <c r="H881" s="134"/>
      <c r="I881" s="134"/>
    </row>
    <row r="882" ht="15.75" customHeight="1">
      <c r="A882" s="133"/>
      <c r="C882" s="134"/>
      <c r="D882" s="134"/>
      <c r="E882" s="134"/>
      <c r="F882" s="134"/>
      <c r="G882" s="134"/>
      <c r="H882" s="134"/>
      <c r="I882" s="134"/>
    </row>
    <row r="883" ht="15.75" customHeight="1">
      <c r="A883" s="133"/>
      <c r="C883" s="134"/>
      <c r="D883" s="134"/>
      <c r="E883" s="134"/>
      <c r="F883" s="134"/>
      <c r="G883" s="134"/>
      <c r="H883" s="134"/>
      <c r="I883" s="134"/>
    </row>
    <row r="884" ht="15.75" customHeight="1">
      <c r="A884" s="133"/>
      <c r="C884" s="134"/>
      <c r="D884" s="134"/>
      <c r="E884" s="134"/>
      <c r="F884" s="134"/>
      <c r="G884" s="134"/>
      <c r="H884" s="134"/>
      <c r="I884" s="134"/>
    </row>
    <row r="885" ht="15.75" customHeight="1">
      <c r="A885" s="133"/>
      <c r="C885" s="134"/>
      <c r="D885" s="134"/>
      <c r="E885" s="134"/>
      <c r="F885" s="134"/>
      <c r="G885" s="134"/>
      <c r="H885" s="134"/>
      <c r="I885" s="134"/>
    </row>
    <row r="886" ht="15.75" customHeight="1">
      <c r="A886" s="133"/>
      <c r="C886" s="134"/>
      <c r="D886" s="134"/>
      <c r="E886" s="134"/>
      <c r="F886" s="134"/>
      <c r="G886" s="134"/>
      <c r="H886" s="134"/>
      <c r="I886" s="134"/>
    </row>
    <row r="887" ht="15.75" customHeight="1">
      <c r="A887" s="133"/>
      <c r="C887" s="134"/>
      <c r="D887" s="134"/>
      <c r="E887" s="134"/>
      <c r="F887" s="134"/>
      <c r="G887" s="134"/>
      <c r="H887" s="134"/>
      <c r="I887" s="134"/>
    </row>
    <row r="888" ht="15.75" customHeight="1">
      <c r="A888" s="133"/>
      <c r="C888" s="134"/>
      <c r="D888" s="134"/>
      <c r="E888" s="134"/>
      <c r="F888" s="134"/>
      <c r="G888" s="134"/>
      <c r="H888" s="134"/>
      <c r="I888" s="134"/>
    </row>
    <row r="889" ht="15.75" customHeight="1">
      <c r="A889" s="133"/>
      <c r="C889" s="134"/>
      <c r="D889" s="134"/>
      <c r="E889" s="134"/>
      <c r="F889" s="134"/>
      <c r="G889" s="134"/>
      <c r="H889" s="134"/>
      <c r="I889" s="134"/>
    </row>
    <row r="890" ht="15.75" customHeight="1">
      <c r="A890" s="133"/>
      <c r="C890" s="134"/>
      <c r="D890" s="134"/>
      <c r="E890" s="134"/>
      <c r="F890" s="134"/>
      <c r="G890" s="134"/>
      <c r="H890" s="134"/>
      <c r="I890" s="134"/>
    </row>
    <row r="891" ht="15.75" customHeight="1">
      <c r="A891" s="133"/>
      <c r="C891" s="134"/>
      <c r="D891" s="134"/>
      <c r="E891" s="134"/>
      <c r="F891" s="134"/>
      <c r="G891" s="134"/>
      <c r="H891" s="134"/>
      <c r="I891" s="134"/>
    </row>
    <row r="892" ht="15.75" customHeight="1">
      <c r="A892" s="133"/>
      <c r="C892" s="134"/>
      <c r="D892" s="134"/>
      <c r="E892" s="134"/>
      <c r="F892" s="134"/>
      <c r="G892" s="134"/>
      <c r="H892" s="134"/>
      <c r="I892" s="134"/>
    </row>
    <row r="893" ht="15.75" customHeight="1">
      <c r="A893" s="133"/>
      <c r="C893" s="134"/>
      <c r="D893" s="134"/>
      <c r="E893" s="134"/>
      <c r="F893" s="134"/>
      <c r="G893" s="134"/>
      <c r="H893" s="134"/>
      <c r="I893" s="134"/>
    </row>
    <row r="894" ht="15.75" customHeight="1">
      <c r="A894" s="133"/>
      <c r="C894" s="134"/>
      <c r="D894" s="134"/>
      <c r="E894" s="134"/>
      <c r="F894" s="134"/>
      <c r="G894" s="134"/>
      <c r="H894" s="134"/>
      <c r="I894" s="134"/>
    </row>
    <row r="895" ht="15.75" customHeight="1">
      <c r="A895" s="133"/>
      <c r="C895" s="134"/>
      <c r="D895" s="134"/>
      <c r="E895" s="134"/>
      <c r="F895" s="134"/>
      <c r="G895" s="134"/>
      <c r="H895" s="134"/>
      <c r="I895" s="134"/>
    </row>
    <row r="896" ht="15.75" customHeight="1">
      <c r="A896" s="133"/>
      <c r="C896" s="134"/>
      <c r="D896" s="134"/>
      <c r="E896" s="134"/>
      <c r="F896" s="134"/>
      <c r="G896" s="134"/>
      <c r="H896" s="134"/>
      <c r="I896" s="134"/>
    </row>
    <row r="897" ht="15.75" customHeight="1">
      <c r="A897" s="133"/>
      <c r="C897" s="134"/>
      <c r="D897" s="134"/>
      <c r="E897" s="134"/>
      <c r="F897" s="134"/>
      <c r="G897" s="134"/>
      <c r="H897" s="134"/>
      <c r="I897" s="134"/>
    </row>
    <row r="898" ht="15.75" customHeight="1">
      <c r="A898" s="133"/>
      <c r="C898" s="134"/>
      <c r="D898" s="134"/>
      <c r="E898" s="134"/>
      <c r="F898" s="134"/>
      <c r="G898" s="134"/>
      <c r="H898" s="134"/>
      <c r="I898" s="134"/>
    </row>
    <row r="899" ht="15.75" customHeight="1">
      <c r="A899" s="133"/>
      <c r="C899" s="134"/>
      <c r="D899" s="134"/>
      <c r="E899" s="134"/>
      <c r="F899" s="134"/>
      <c r="G899" s="134"/>
      <c r="H899" s="134"/>
      <c r="I899" s="134"/>
    </row>
    <row r="900" ht="15.75" customHeight="1">
      <c r="A900" s="133"/>
      <c r="C900" s="134"/>
      <c r="D900" s="134"/>
      <c r="E900" s="134"/>
      <c r="F900" s="134"/>
      <c r="G900" s="134"/>
      <c r="H900" s="134"/>
      <c r="I900" s="134"/>
    </row>
    <row r="901" ht="15.75" customHeight="1">
      <c r="A901" s="133"/>
      <c r="C901" s="134"/>
      <c r="D901" s="134"/>
      <c r="E901" s="134"/>
      <c r="F901" s="134"/>
      <c r="G901" s="134"/>
      <c r="H901" s="134"/>
      <c r="I901" s="134"/>
    </row>
    <row r="902" ht="15.75" customHeight="1">
      <c r="A902" s="133"/>
      <c r="C902" s="134"/>
      <c r="D902" s="134"/>
      <c r="E902" s="134"/>
      <c r="F902" s="134"/>
      <c r="G902" s="134"/>
      <c r="H902" s="134"/>
      <c r="I902" s="134"/>
    </row>
    <row r="903" ht="15.75" customHeight="1">
      <c r="A903" s="133"/>
      <c r="C903" s="134"/>
      <c r="D903" s="134"/>
      <c r="E903" s="134"/>
      <c r="F903" s="134"/>
      <c r="G903" s="134"/>
      <c r="H903" s="134"/>
      <c r="I903" s="134"/>
    </row>
    <row r="904" ht="15.75" customHeight="1">
      <c r="A904" s="133"/>
      <c r="C904" s="134"/>
      <c r="D904" s="134"/>
      <c r="E904" s="134"/>
      <c r="F904" s="134"/>
      <c r="G904" s="134"/>
      <c r="H904" s="134"/>
      <c r="I904" s="134"/>
    </row>
    <row r="905" ht="15.75" customHeight="1">
      <c r="A905" s="133"/>
      <c r="C905" s="134"/>
      <c r="D905" s="134"/>
      <c r="E905" s="134"/>
      <c r="F905" s="134"/>
      <c r="G905" s="134"/>
      <c r="H905" s="134"/>
      <c r="I905" s="134"/>
    </row>
    <row r="906" ht="15.75" customHeight="1">
      <c r="A906" s="133"/>
      <c r="C906" s="134"/>
      <c r="D906" s="134"/>
      <c r="E906" s="134"/>
      <c r="F906" s="134"/>
      <c r="G906" s="134"/>
      <c r="H906" s="134"/>
      <c r="I906" s="134"/>
    </row>
    <row r="907" ht="15.75" customHeight="1">
      <c r="A907" s="133"/>
      <c r="C907" s="134"/>
      <c r="D907" s="134"/>
      <c r="E907" s="134"/>
      <c r="F907" s="134"/>
      <c r="G907" s="134"/>
      <c r="H907" s="134"/>
      <c r="I907" s="134"/>
    </row>
    <row r="908" ht="15.75" customHeight="1">
      <c r="A908" s="133"/>
      <c r="C908" s="134"/>
      <c r="D908" s="134"/>
      <c r="E908" s="134"/>
      <c r="F908" s="134"/>
      <c r="G908" s="134"/>
      <c r="H908" s="134"/>
      <c r="I908" s="134"/>
    </row>
    <row r="909" ht="15.75" customHeight="1">
      <c r="A909" s="133"/>
      <c r="C909" s="134"/>
      <c r="D909" s="134"/>
      <c r="E909" s="134"/>
      <c r="F909" s="134"/>
      <c r="G909" s="134"/>
      <c r="H909" s="134"/>
      <c r="I909" s="134"/>
    </row>
    <row r="910" ht="15.75" customHeight="1">
      <c r="A910" s="133"/>
      <c r="C910" s="134"/>
      <c r="D910" s="134"/>
      <c r="E910" s="134"/>
      <c r="F910" s="134"/>
      <c r="G910" s="134"/>
      <c r="H910" s="134"/>
      <c r="I910" s="134"/>
    </row>
    <row r="911" ht="15.75" customHeight="1">
      <c r="A911" s="133"/>
      <c r="C911" s="134"/>
      <c r="D911" s="134"/>
      <c r="E911" s="134"/>
      <c r="F911" s="134"/>
      <c r="G911" s="134"/>
      <c r="H911" s="134"/>
      <c r="I911" s="134"/>
    </row>
    <row r="912" ht="15.75" customHeight="1">
      <c r="A912" s="133"/>
      <c r="C912" s="134"/>
      <c r="D912" s="134"/>
      <c r="E912" s="134"/>
      <c r="F912" s="134"/>
      <c r="G912" s="134"/>
      <c r="H912" s="134"/>
      <c r="I912" s="134"/>
    </row>
    <row r="913" ht="15.75" customHeight="1">
      <c r="A913" s="133"/>
      <c r="C913" s="134"/>
      <c r="D913" s="134"/>
      <c r="E913" s="134"/>
      <c r="F913" s="134"/>
      <c r="G913" s="134"/>
      <c r="H913" s="134"/>
      <c r="I913" s="134"/>
    </row>
    <row r="914" ht="15.75" customHeight="1">
      <c r="A914" s="133"/>
      <c r="C914" s="134"/>
      <c r="D914" s="134"/>
      <c r="E914" s="134"/>
      <c r="F914" s="134"/>
      <c r="G914" s="134"/>
      <c r="H914" s="134"/>
      <c r="I914" s="134"/>
    </row>
    <row r="915" ht="15.75" customHeight="1">
      <c r="A915" s="133"/>
      <c r="C915" s="134"/>
      <c r="D915" s="134"/>
      <c r="E915" s="134"/>
      <c r="F915" s="134"/>
      <c r="G915" s="134"/>
      <c r="H915" s="134"/>
      <c r="I915" s="134"/>
    </row>
    <row r="916" ht="15.75" customHeight="1">
      <c r="A916" s="133"/>
      <c r="C916" s="134"/>
      <c r="D916" s="134"/>
      <c r="E916" s="134"/>
      <c r="F916" s="134"/>
      <c r="G916" s="134"/>
      <c r="H916" s="134"/>
      <c r="I916" s="134"/>
    </row>
    <row r="917" ht="15.75" customHeight="1">
      <c r="A917" s="133"/>
      <c r="C917" s="134"/>
      <c r="D917" s="134"/>
      <c r="E917" s="134"/>
      <c r="F917" s="134"/>
      <c r="G917" s="134"/>
      <c r="H917" s="134"/>
      <c r="I917" s="134"/>
    </row>
    <row r="918" ht="15.75" customHeight="1">
      <c r="A918" s="133"/>
      <c r="C918" s="134"/>
      <c r="D918" s="134"/>
      <c r="E918" s="134"/>
      <c r="F918" s="134"/>
      <c r="G918" s="134"/>
      <c r="H918" s="134"/>
      <c r="I918" s="134"/>
    </row>
    <row r="919" ht="15.75" customHeight="1">
      <c r="A919" s="133"/>
      <c r="C919" s="134"/>
      <c r="D919" s="134"/>
      <c r="E919" s="134"/>
      <c r="F919" s="134"/>
      <c r="G919" s="134"/>
      <c r="H919" s="134"/>
      <c r="I919" s="134"/>
    </row>
    <row r="920" ht="15.75" customHeight="1">
      <c r="A920" s="133"/>
      <c r="C920" s="134"/>
      <c r="D920" s="134"/>
      <c r="E920" s="134"/>
      <c r="F920" s="134"/>
      <c r="G920" s="134"/>
      <c r="H920" s="134"/>
      <c r="I920" s="134"/>
    </row>
    <row r="921" ht="15.75" customHeight="1">
      <c r="A921" s="133"/>
      <c r="C921" s="134"/>
      <c r="D921" s="134"/>
      <c r="E921" s="134"/>
      <c r="F921" s="134"/>
      <c r="G921" s="134"/>
      <c r="H921" s="134"/>
      <c r="I921" s="134"/>
    </row>
    <row r="922" ht="15.75" customHeight="1">
      <c r="A922" s="133"/>
      <c r="C922" s="134"/>
      <c r="D922" s="134"/>
      <c r="E922" s="134"/>
      <c r="F922" s="134"/>
      <c r="G922" s="134"/>
      <c r="H922" s="134"/>
      <c r="I922" s="134"/>
    </row>
    <row r="923" ht="15.75" customHeight="1">
      <c r="A923" s="133"/>
      <c r="C923" s="134"/>
      <c r="D923" s="134"/>
      <c r="E923" s="134"/>
      <c r="F923" s="134"/>
      <c r="G923" s="134"/>
      <c r="H923" s="134"/>
      <c r="I923" s="134"/>
    </row>
    <row r="924" ht="15.75" customHeight="1">
      <c r="A924" s="133"/>
      <c r="C924" s="134"/>
      <c r="D924" s="134"/>
      <c r="E924" s="134"/>
      <c r="F924" s="134"/>
      <c r="G924" s="134"/>
      <c r="H924" s="134"/>
      <c r="I924" s="134"/>
    </row>
    <row r="925" ht="15.75" customHeight="1">
      <c r="A925" s="133"/>
      <c r="C925" s="134"/>
      <c r="D925" s="134"/>
      <c r="E925" s="134"/>
      <c r="F925" s="134"/>
      <c r="G925" s="134"/>
      <c r="H925" s="134"/>
      <c r="I925" s="134"/>
    </row>
    <row r="926" ht="15.75" customHeight="1">
      <c r="A926" s="133"/>
      <c r="C926" s="134"/>
      <c r="D926" s="134"/>
      <c r="E926" s="134"/>
      <c r="F926" s="134"/>
      <c r="G926" s="134"/>
      <c r="H926" s="134"/>
      <c r="I926" s="134"/>
    </row>
    <row r="927" ht="15.75" customHeight="1">
      <c r="A927" s="133"/>
      <c r="C927" s="134"/>
      <c r="D927" s="134"/>
      <c r="E927" s="134"/>
      <c r="F927" s="134"/>
      <c r="G927" s="134"/>
      <c r="H927" s="134"/>
      <c r="I927" s="134"/>
    </row>
    <row r="928" ht="15.75" customHeight="1">
      <c r="A928" s="133"/>
      <c r="C928" s="134"/>
      <c r="D928" s="134"/>
      <c r="E928" s="134"/>
      <c r="F928" s="134"/>
      <c r="G928" s="134"/>
      <c r="H928" s="134"/>
      <c r="I928" s="134"/>
    </row>
    <row r="929" ht="15.75" customHeight="1">
      <c r="A929" s="133"/>
      <c r="C929" s="134"/>
      <c r="D929" s="134"/>
      <c r="E929" s="134"/>
      <c r="F929" s="134"/>
      <c r="G929" s="134"/>
      <c r="H929" s="134"/>
      <c r="I929" s="134"/>
    </row>
    <row r="930" ht="15.75" customHeight="1">
      <c r="A930" s="133"/>
      <c r="C930" s="134"/>
      <c r="D930" s="134"/>
      <c r="E930" s="134"/>
      <c r="F930" s="134"/>
      <c r="G930" s="134"/>
      <c r="H930" s="134"/>
      <c r="I930" s="134"/>
    </row>
    <row r="931" ht="15.75" customHeight="1">
      <c r="A931" s="133"/>
      <c r="C931" s="134"/>
      <c r="D931" s="134"/>
      <c r="E931" s="134"/>
      <c r="F931" s="134"/>
      <c r="G931" s="134"/>
      <c r="H931" s="134"/>
      <c r="I931" s="134"/>
    </row>
    <row r="932" ht="15.75" customHeight="1">
      <c r="A932" s="133"/>
      <c r="C932" s="134"/>
      <c r="D932" s="134"/>
      <c r="E932" s="134"/>
      <c r="F932" s="134"/>
      <c r="G932" s="134"/>
      <c r="H932" s="134"/>
      <c r="I932" s="134"/>
    </row>
    <row r="933" ht="15.75" customHeight="1">
      <c r="A933" s="133"/>
      <c r="C933" s="134"/>
      <c r="D933" s="134"/>
      <c r="E933" s="134"/>
      <c r="F933" s="134"/>
      <c r="G933" s="134"/>
      <c r="H933" s="134"/>
      <c r="I933" s="134"/>
    </row>
    <row r="934" ht="15.75" customHeight="1">
      <c r="A934" s="133"/>
      <c r="C934" s="134"/>
      <c r="D934" s="134"/>
      <c r="E934" s="134"/>
      <c r="F934" s="134"/>
      <c r="G934" s="134"/>
      <c r="H934" s="134"/>
      <c r="I934" s="134"/>
    </row>
    <row r="935" ht="15.75" customHeight="1">
      <c r="A935" s="133"/>
      <c r="C935" s="134"/>
      <c r="D935" s="134"/>
      <c r="E935" s="134"/>
      <c r="F935" s="134"/>
      <c r="G935" s="134"/>
      <c r="H935" s="134"/>
      <c r="I935" s="134"/>
    </row>
    <row r="936" ht="15.75" customHeight="1">
      <c r="A936" s="133"/>
      <c r="C936" s="134"/>
      <c r="D936" s="134"/>
      <c r="E936" s="134"/>
      <c r="F936" s="134"/>
      <c r="G936" s="134"/>
      <c r="H936" s="134"/>
      <c r="I936" s="134"/>
    </row>
    <row r="937" ht="15.75" customHeight="1">
      <c r="A937" s="133"/>
      <c r="C937" s="134"/>
      <c r="D937" s="134"/>
      <c r="E937" s="134"/>
      <c r="F937" s="134"/>
      <c r="G937" s="134"/>
      <c r="H937" s="134"/>
      <c r="I937" s="134"/>
    </row>
    <row r="938" ht="15.75" customHeight="1">
      <c r="A938" s="133"/>
      <c r="C938" s="134"/>
      <c r="D938" s="134"/>
      <c r="E938" s="134"/>
      <c r="F938" s="134"/>
      <c r="G938" s="134"/>
      <c r="H938" s="134"/>
      <c r="I938" s="134"/>
    </row>
    <row r="939" ht="15.75" customHeight="1">
      <c r="A939" s="133"/>
      <c r="C939" s="134"/>
      <c r="D939" s="134"/>
      <c r="E939" s="134"/>
      <c r="F939" s="134"/>
      <c r="G939" s="134"/>
      <c r="H939" s="134"/>
      <c r="I939" s="134"/>
    </row>
    <row r="940" ht="15.75" customHeight="1">
      <c r="A940" s="133"/>
      <c r="C940" s="134"/>
      <c r="D940" s="134"/>
      <c r="E940" s="134"/>
      <c r="F940" s="134"/>
      <c r="G940" s="134"/>
      <c r="H940" s="134"/>
      <c r="I940" s="134"/>
    </row>
    <row r="941" ht="15.75" customHeight="1">
      <c r="A941" s="133"/>
      <c r="C941" s="134"/>
      <c r="D941" s="134"/>
      <c r="E941" s="134"/>
      <c r="F941" s="134"/>
      <c r="G941" s="134"/>
      <c r="H941" s="134"/>
      <c r="I941" s="134"/>
    </row>
    <row r="942" ht="15.75" customHeight="1">
      <c r="A942" s="133"/>
      <c r="C942" s="134"/>
      <c r="D942" s="134"/>
      <c r="E942" s="134"/>
      <c r="F942" s="134"/>
      <c r="G942" s="134"/>
      <c r="H942" s="134"/>
      <c r="I942" s="134"/>
    </row>
    <row r="943" ht="15.75" customHeight="1">
      <c r="A943" s="133"/>
      <c r="C943" s="134"/>
      <c r="D943" s="134"/>
      <c r="E943" s="134"/>
      <c r="F943" s="134"/>
      <c r="G943" s="134"/>
      <c r="H943" s="134"/>
      <c r="I943" s="134"/>
    </row>
    <row r="944" ht="15.75" customHeight="1">
      <c r="A944" s="133"/>
      <c r="C944" s="134"/>
      <c r="D944" s="134"/>
      <c r="E944" s="134"/>
      <c r="F944" s="134"/>
      <c r="G944" s="134"/>
      <c r="H944" s="134"/>
      <c r="I944" s="134"/>
    </row>
    <row r="945" ht="15.75" customHeight="1">
      <c r="A945" s="133"/>
      <c r="C945" s="134"/>
      <c r="D945" s="134"/>
      <c r="E945" s="134"/>
      <c r="F945" s="134"/>
      <c r="G945" s="134"/>
      <c r="H945" s="134"/>
      <c r="I945" s="134"/>
    </row>
    <row r="946" ht="15.75" customHeight="1">
      <c r="A946" s="133"/>
      <c r="C946" s="134"/>
      <c r="D946" s="134"/>
      <c r="E946" s="134"/>
      <c r="F946" s="134"/>
      <c r="G946" s="134"/>
      <c r="H946" s="134"/>
      <c r="I946" s="134"/>
    </row>
    <row r="947" ht="15.75" customHeight="1">
      <c r="A947" s="133"/>
      <c r="C947" s="134"/>
      <c r="D947" s="134"/>
      <c r="E947" s="134"/>
      <c r="F947" s="134"/>
      <c r="G947" s="134"/>
      <c r="H947" s="134"/>
      <c r="I947" s="134"/>
    </row>
    <row r="948" ht="15.75" customHeight="1">
      <c r="A948" s="133"/>
      <c r="C948" s="134"/>
      <c r="D948" s="134"/>
      <c r="E948" s="134"/>
      <c r="F948" s="134"/>
      <c r="G948" s="134"/>
      <c r="H948" s="134"/>
      <c r="I948" s="134"/>
    </row>
    <row r="949" ht="15.75" customHeight="1">
      <c r="A949" s="133"/>
      <c r="C949" s="134"/>
      <c r="D949" s="134"/>
      <c r="E949" s="134"/>
      <c r="F949" s="134"/>
      <c r="G949" s="134"/>
      <c r="H949" s="134"/>
      <c r="I949" s="134"/>
    </row>
    <row r="950" ht="15.75" customHeight="1">
      <c r="A950" s="133"/>
      <c r="C950" s="134"/>
      <c r="D950" s="134"/>
      <c r="E950" s="134"/>
      <c r="F950" s="134"/>
      <c r="G950" s="134"/>
      <c r="H950" s="134"/>
      <c r="I950" s="134"/>
    </row>
    <row r="951" ht="15.75" customHeight="1">
      <c r="A951" s="133"/>
      <c r="C951" s="134"/>
      <c r="D951" s="134"/>
      <c r="E951" s="134"/>
      <c r="F951" s="134"/>
      <c r="G951" s="134"/>
      <c r="H951" s="134"/>
      <c r="I951" s="134"/>
    </row>
    <row r="952" ht="15.75" customHeight="1">
      <c r="A952" s="133"/>
      <c r="C952" s="134"/>
      <c r="D952" s="134"/>
      <c r="E952" s="134"/>
      <c r="F952" s="134"/>
      <c r="G952" s="134"/>
      <c r="H952" s="134"/>
      <c r="I952" s="134"/>
    </row>
    <row r="953" ht="15.75" customHeight="1">
      <c r="A953" s="133"/>
      <c r="C953" s="134"/>
      <c r="D953" s="134"/>
      <c r="E953" s="134"/>
      <c r="F953" s="134"/>
      <c r="G953" s="134"/>
      <c r="H953" s="134"/>
      <c r="I953" s="134"/>
    </row>
    <row r="954" ht="15.75" customHeight="1">
      <c r="A954" s="133"/>
      <c r="C954" s="134"/>
      <c r="D954" s="134"/>
      <c r="E954" s="134"/>
      <c r="F954" s="134"/>
      <c r="G954" s="134"/>
      <c r="H954" s="134"/>
      <c r="I954" s="134"/>
    </row>
    <row r="955" ht="15.75" customHeight="1">
      <c r="A955" s="133"/>
      <c r="C955" s="134"/>
      <c r="D955" s="134"/>
      <c r="E955" s="134"/>
      <c r="F955" s="134"/>
      <c r="G955" s="134"/>
      <c r="H955" s="134"/>
      <c r="I955" s="134"/>
    </row>
    <row r="956" ht="15.75" customHeight="1">
      <c r="A956" s="133"/>
      <c r="C956" s="134"/>
      <c r="D956" s="134"/>
      <c r="E956" s="134"/>
      <c r="F956" s="134"/>
      <c r="G956" s="134"/>
      <c r="H956" s="134"/>
      <c r="I956" s="134"/>
    </row>
    <row r="957" ht="15.75" customHeight="1">
      <c r="A957" s="133"/>
      <c r="C957" s="134"/>
      <c r="D957" s="134"/>
      <c r="E957" s="134"/>
      <c r="F957" s="134"/>
      <c r="G957" s="134"/>
      <c r="H957" s="134"/>
      <c r="I957" s="134"/>
    </row>
    <row r="958" ht="15.75" customHeight="1">
      <c r="A958" s="133"/>
      <c r="C958" s="134"/>
      <c r="D958" s="134"/>
      <c r="E958" s="134"/>
      <c r="F958" s="134"/>
      <c r="G958" s="134"/>
      <c r="H958" s="134"/>
      <c r="I958" s="134"/>
    </row>
    <row r="959" ht="15.75" customHeight="1">
      <c r="A959" s="133"/>
      <c r="C959" s="134"/>
      <c r="D959" s="134"/>
      <c r="E959" s="134"/>
      <c r="F959" s="134"/>
      <c r="G959" s="134"/>
      <c r="H959" s="134"/>
      <c r="I959" s="134"/>
    </row>
    <row r="960" ht="15.75" customHeight="1">
      <c r="A960" s="133"/>
      <c r="C960" s="134"/>
      <c r="D960" s="134"/>
      <c r="E960" s="134"/>
      <c r="F960" s="134"/>
      <c r="G960" s="134"/>
      <c r="H960" s="134"/>
      <c r="I960" s="134"/>
    </row>
    <row r="961" ht="15.75" customHeight="1">
      <c r="A961" s="133"/>
      <c r="C961" s="134"/>
      <c r="D961" s="134"/>
      <c r="E961" s="134"/>
      <c r="F961" s="134"/>
      <c r="G961" s="134"/>
      <c r="H961" s="134"/>
      <c r="I961" s="134"/>
    </row>
    <row r="962" ht="15.75" customHeight="1">
      <c r="A962" s="133"/>
      <c r="C962" s="134"/>
      <c r="D962" s="134"/>
      <c r="E962" s="134"/>
      <c r="F962" s="134"/>
      <c r="G962" s="134"/>
      <c r="H962" s="134"/>
      <c r="I962" s="134"/>
    </row>
    <row r="963" ht="15.75" customHeight="1">
      <c r="A963" s="133"/>
      <c r="C963" s="134"/>
      <c r="D963" s="134"/>
      <c r="E963" s="134"/>
      <c r="F963" s="134"/>
      <c r="G963" s="134"/>
      <c r="H963" s="134"/>
      <c r="I963" s="134"/>
    </row>
    <row r="964" ht="15.75" customHeight="1">
      <c r="A964" s="133"/>
      <c r="C964" s="134"/>
      <c r="D964" s="134"/>
      <c r="E964" s="134"/>
      <c r="F964" s="134"/>
      <c r="G964" s="134"/>
      <c r="H964" s="134"/>
      <c r="I964" s="134"/>
    </row>
    <row r="965" ht="15.75" customHeight="1">
      <c r="A965" s="133"/>
      <c r="C965" s="134"/>
      <c r="D965" s="134"/>
      <c r="E965" s="134"/>
      <c r="F965" s="134"/>
      <c r="G965" s="134"/>
      <c r="H965" s="134"/>
      <c r="I965" s="134"/>
    </row>
    <row r="966" ht="15.75" customHeight="1">
      <c r="A966" s="133"/>
      <c r="C966" s="134"/>
      <c r="D966" s="134"/>
      <c r="E966" s="134"/>
      <c r="F966" s="134"/>
      <c r="G966" s="134"/>
      <c r="H966" s="134"/>
      <c r="I966" s="134"/>
    </row>
    <row r="967" ht="15.75" customHeight="1">
      <c r="A967" s="133"/>
      <c r="C967" s="134"/>
      <c r="D967" s="134"/>
      <c r="E967" s="134"/>
      <c r="F967" s="134"/>
      <c r="G967" s="134"/>
      <c r="H967" s="134"/>
      <c r="I967" s="134"/>
    </row>
    <row r="968" ht="15.75" customHeight="1">
      <c r="A968" s="133"/>
      <c r="C968" s="134"/>
      <c r="D968" s="134"/>
      <c r="E968" s="134"/>
      <c r="F968" s="134"/>
      <c r="G968" s="134"/>
      <c r="H968" s="134"/>
      <c r="I968" s="134"/>
    </row>
    <row r="969" ht="15.75" customHeight="1">
      <c r="A969" s="133"/>
      <c r="C969" s="134"/>
      <c r="D969" s="134"/>
      <c r="E969" s="134"/>
      <c r="F969" s="134"/>
      <c r="G969" s="134"/>
      <c r="H969" s="134"/>
      <c r="I969" s="134"/>
    </row>
    <row r="970" ht="15.75" customHeight="1">
      <c r="A970" s="133"/>
      <c r="C970" s="134"/>
      <c r="D970" s="134"/>
      <c r="E970" s="134"/>
      <c r="F970" s="134"/>
      <c r="G970" s="134"/>
      <c r="H970" s="134"/>
      <c r="I970" s="134"/>
    </row>
    <row r="971" ht="15.75" customHeight="1">
      <c r="A971" s="133"/>
      <c r="C971" s="134"/>
      <c r="D971" s="134"/>
      <c r="E971" s="134"/>
      <c r="F971" s="134"/>
      <c r="G971" s="134"/>
      <c r="H971" s="134"/>
      <c r="I971" s="134"/>
    </row>
    <row r="972" ht="15.75" customHeight="1">
      <c r="A972" s="133"/>
      <c r="C972" s="134"/>
      <c r="D972" s="134"/>
      <c r="E972" s="134"/>
      <c r="F972" s="134"/>
      <c r="G972" s="134"/>
      <c r="H972" s="134"/>
      <c r="I972" s="134"/>
    </row>
    <row r="973" ht="15.75" customHeight="1">
      <c r="A973" s="133"/>
      <c r="C973" s="134"/>
      <c r="D973" s="134"/>
      <c r="E973" s="134"/>
      <c r="F973" s="134"/>
      <c r="G973" s="134"/>
      <c r="H973" s="134"/>
      <c r="I973" s="134"/>
    </row>
    <row r="974" ht="15.75" customHeight="1">
      <c r="A974" s="133"/>
      <c r="C974" s="134"/>
      <c r="D974" s="134"/>
      <c r="E974" s="134"/>
      <c r="F974" s="134"/>
      <c r="G974" s="134"/>
      <c r="H974" s="134"/>
      <c r="I974" s="134"/>
    </row>
    <row r="975" ht="15.75" customHeight="1">
      <c r="A975" s="133"/>
      <c r="C975" s="134"/>
      <c r="D975" s="134"/>
      <c r="E975" s="134"/>
      <c r="F975" s="134"/>
      <c r="G975" s="134"/>
      <c r="H975" s="134"/>
      <c r="I975" s="134"/>
    </row>
    <row r="976" ht="15.75" customHeight="1">
      <c r="A976" s="133"/>
      <c r="C976" s="134"/>
      <c r="D976" s="134"/>
      <c r="E976" s="134"/>
      <c r="F976" s="134"/>
      <c r="G976" s="134"/>
      <c r="H976" s="134"/>
      <c r="I976" s="134"/>
    </row>
    <row r="977" ht="15.75" customHeight="1">
      <c r="A977" s="133"/>
      <c r="C977" s="134"/>
      <c r="D977" s="134"/>
      <c r="E977" s="134"/>
      <c r="F977" s="134"/>
      <c r="G977" s="134"/>
      <c r="H977" s="134"/>
      <c r="I977" s="134"/>
    </row>
    <row r="978" ht="15.75" customHeight="1">
      <c r="A978" s="133"/>
      <c r="C978" s="134"/>
      <c r="D978" s="134"/>
      <c r="E978" s="134"/>
      <c r="F978" s="134"/>
      <c r="G978" s="134"/>
      <c r="H978" s="134"/>
      <c r="I978" s="134"/>
    </row>
    <row r="979" ht="15.75" customHeight="1">
      <c r="A979" s="133"/>
      <c r="C979" s="134"/>
      <c r="D979" s="134"/>
      <c r="E979" s="134"/>
      <c r="F979" s="134"/>
      <c r="G979" s="134"/>
      <c r="H979" s="134"/>
      <c r="I979" s="134"/>
    </row>
    <row r="980" ht="15.75" customHeight="1">
      <c r="A980" s="133"/>
      <c r="C980" s="134"/>
      <c r="D980" s="134"/>
      <c r="E980" s="134"/>
      <c r="F980" s="134"/>
      <c r="G980" s="134"/>
      <c r="H980" s="134"/>
      <c r="I980" s="134"/>
    </row>
    <row r="981" ht="15.75" customHeight="1">
      <c r="A981" s="133"/>
      <c r="C981" s="134"/>
      <c r="D981" s="134"/>
      <c r="E981" s="134"/>
      <c r="F981" s="134"/>
      <c r="G981" s="134"/>
      <c r="H981" s="134"/>
      <c r="I981" s="134"/>
    </row>
    <row r="982" ht="15.75" customHeight="1">
      <c r="A982" s="133"/>
      <c r="C982" s="134"/>
      <c r="D982" s="134"/>
      <c r="E982" s="134"/>
      <c r="F982" s="134"/>
      <c r="G982" s="134"/>
      <c r="H982" s="134"/>
      <c r="I982" s="134"/>
    </row>
    <row r="983" ht="15.75" customHeight="1">
      <c r="A983" s="133"/>
      <c r="C983" s="134"/>
      <c r="D983" s="134"/>
      <c r="E983" s="134"/>
      <c r="F983" s="134"/>
      <c r="G983" s="134"/>
      <c r="H983" s="134"/>
      <c r="I983" s="134"/>
    </row>
    <row r="984" ht="15.75" customHeight="1">
      <c r="A984" s="133"/>
      <c r="C984" s="134"/>
      <c r="D984" s="134"/>
      <c r="E984" s="134"/>
      <c r="F984" s="134"/>
      <c r="G984" s="134"/>
      <c r="H984" s="134"/>
      <c r="I984" s="134"/>
    </row>
    <row r="985" ht="15.75" customHeight="1">
      <c r="A985" s="133"/>
      <c r="C985" s="134"/>
      <c r="D985" s="134"/>
      <c r="E985" s="134"/>
      <c r="F985" s="134"/>
      <c r="G985" s="134"/>
      <c r="H985" s="134"/>
      <c r="I985" s="134"/>
    </row>
    <row r="986" ht="15.75" customHeight="1">
      <c r="A986" s="133"/>
      <c r="C986" s="134"/>
      <c r="D986" s="134"/>
      <c r="E986" s="134"/>
      <c r="F986" s="134"/>
      <c r="G986" s="134"/>
      <c r="H986" s="134"/>
      <c r="I986" s="134"/>
    </row>
    <row r="987" ht="15.75" customHeight="1">
      <c r="A987" s="133"/>
      <c r="C987" s="134"/>
      <c r="D987" s="134"/>
      <c r="E987" s="134"/>
      <c r="F987" s="134"/>
      <c r="G987" s="134"/>
      <c r="H987" s="134"/>
      <c r="I987" s="134"/>
    </row>
    <row r="988" ht="15.75" customHeight="1">
      <c r="A988" s="133"/>
      <c r="C988" s="134"/>
      <c r="D988" s="134"/>
      <c r="E988" s="134"/>
      <c r="F988" s="134"/>
      <c r="G988" s="134"/>
      <c r="H988" s="134"/>
      <c r="I988" s="134"/>
    </row>
    <row r="989" ht="15.75" customHeight="1">
      <c r="A989" s="133"/>
      <c r="C989" s="134"/>
      <c r="D989" s="134"/>
      <c r="E989" s="134"/>
      <c r="F989" s="134"/>
      <c r="G989" s="134"/>
      <c r="H989" s="134"/>
      <c r="I989" s="134"/>
    </row>
    <row r="990" ht="15.75" customHeight="1">
      <c r="A990" s="133"/>
      <c r="C990" s="134"/>
      <c r="D990" s="134"/>
      <c r="E990" s="134"/>
      <c r="F990" s="134"/>
      <c r="G990" s="134"/>
      <c r="H990" s="134"/>
      <c r="I990" s="134"/>
    </row>
    <row r="991" ht="15.75" customHeight="1">
      <c r="A991" s="133"/>
      <c r="C991" s="134"/>
      <c r="D991" s="134"/>
      <c r="E991" s="134"/>
      <c r="F991" s="134"/>
      <c r="G991" s="134"/>
      <c r="H991" s="134"/>
      <c r="I991" s="134"/>
    </row>
    <row r="992" ht="15.75" customHeight="1">
      <c r="A992" s="133"/>
      <c r="C992" s="134"/>
      <c r="D992" s="134"/>
      <c r="E992" s="134"/>
      <c r="F992" s="134"/>
      <c r="G992" s="134"/>
      <c r="H992" s="134"/>
      <c r="I992" s="134"/>
    </row>
    <row r="993" ht="15.75" customHeight="1">
      <c r="A993" s="133"/>
      <c r="C993" s="134"/>
      <c r="D993" s="134"/>
      <c r="E993" s="134"/>
      <c r="F993" s="134"/>
      <c r="G993" s="134"/>
      <c r="H993" s="134"/>
      <c r="I993" s="134"/>
    </row>
    <row r="994" ht="15.75" customHeight="1">
      <c r="A994" s="133"/>
      <c r="C994" s="134"/>
      <c r="D994" s="134"/>
      <c r="E994" s="134"/>
      <c r="F994" s="134"/>
      <c r="G994" s="134"/>
      <c r="H994" s="134"/>
      <c r="I994" s="134"/>
    </row>
    <row r="995" ht="15.75" customHeight="1">
      <c r="A995" s="133"/>
      <c r="C995" s="134"/>
      <c r="D995" s="134"/>
      <c r="E995" s="134"/>
      <c r="F995" s="134"/>
      <c r="G995" s="134"/>
      <c r="H995" s="134"/>
      <c r="I995" s="134"/>
    </row>
    <row r="996" ht="15.75" customHeight="1">
      <c r="A996" s="133"/>
      <c r="C996" s="134"/>
      <c r="D996" s="134"/>
      <c r="E996" s="134"/>
      <c r="F996" s="134"/>
      <c r="G996" s="134"/>
      <c r="H996" s="134"/>
      <c r="I996" s="134"/>
    </row>
    <row r="997" ht="15.75" customHeight="1">
      <c r="A997" s="133"/>
      <c r="C997" s="134"/>
      <c r="D997" s="134"/>
      <c r="E997" s="134"/>
      <c r="F997" s="134"/>
      <c r="G997" s="134"/>
      <c r="H997" s="134"/>
      <c r="I997" s="134"/>
    </row>
    <row r="998" ht="15.75" customHeight="1">
      <c r="A998" s="133"/>
      <c r="C998" s="134"/>
      <c r="D998" s="134"/>
      <c r="E998" s="134"/>
      <c r="F998" s="134"/>
      <c r="G998" s="134"/>
      <c r="H998" s="134"/>
      <c r="I998" s="134"/>
    </row>
    <row r="999" ht="15.75" customHeight="1">
      <c r="A999" s="133"/>
      <c r="C999" s="134"/>
      <c r="D999" s="134"/>
      <c r="E999" s="134"/>
      <c r="F999" s="134"/>
      <c r="G999" s="134"/>
      <c r="H999" s="134"/>
      <c r="I999" s="134"/>
    </row>
    <row r="1000" ht="15.75" customHeight="1">
      <c r="A1000" s="133"/>
      <c r="C1000" s="134"/>
      <c r="D1000" s="134"/>
      <c r="E1000" s="134"/>
      <c r="F1000" s="134"/>
      <c r="G1000" s="134"/>
      <c r="H1000" s="134"/>
      <c r="I1000" s="134"/>
    </row>
    <row r="1001" ht="15.75" customHeight="1">
      <c r="A1001" s="133"/>
      <c r="C1001" s="134"/>
      <c r="D1001" s="134"/>
      <c r="E1001" s="134"/>
      <c r="F1001" s="134"/>
      <c r="G1001" s="134"/>
      <c r="H1001" s="134"/>
      <c r="I1001" s="134"/>
    </row>
  </sheetData>
  <mergeCells count="8">
    <mergeCell ref="D1:I1"/>
    <mergeCell ref="D3:I3"/>
    <mergeCell ref="O3:P3"/>
    <mergeCell ref="O4:P4"/>
    <mergeCell ref="O5:P5"/>
    <mergeCell ref="O6:P6"/>
    <mergeCell ref="O7:P7"/>
    <mergeCell ref="O8:P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56.88"/>
    <col customWidth="1" min="3" max="3" width="3.38"/>
    <col customWidth="1" min="4" max="5" width="2.88"/>
    <col customWidth="1" min="6" max="6" width="2.75"/>
    <col customWidth="1" min="7" max="10" width="3.0"/>
    <col customWidth="1" min="11" max="11" width="3.13"/>
    <col customWidth="1" min="12" max="13" width="3.0"/>
    <col customWidth="1" min="14" max="16" width="3.25"/>
    <col customWidth="1" min="17" max="18" width="3.0"/>
    <col customWidth="1" min="19" max="19" width="2.75"/>
    <col customWidth="1" min="20" max="23" width="3.0"/>
    <col customWidth="1" min="24" max="24" width="2.88"/>
    <col customWidth="1" min="25" max="25" width="3.0"/>
    <col customWidth="1" min="26" max="27" width="2.88"/>
    <col customWidth="1" min="28" max="30" width="3.13"/>
    <col customWidth="1" min="31" max="32" width="3.25"/>
    <col customWidth="1" min="33" max="33" width="3.38"/>
    <col customWidth="1" min="34" max="34" width="3.0"/>
    <col customWidth="1" min="35" max="39" width="3.13"/>
    <col customWidth="1" min="40" max="40" width="3.38"/>
    <col customWidth="1" min="41" max="41" width="3.13"/>
    <col customWidth="1" min="42" max="44" width="3.25"/>
    <col customWidth="1" min="45" max="45" width="3.13"/>
    <col customWidth="1" min="46" max="46" width="3.0"/>
    <col customWidth="1" min="47" max="47" width="3.13"/>
    <col customWidth="1" min="48" max="52" width="2.88"/>
    <col customWidth="1" min="53" max="54" width="3.0"/>
    <col customWidth="1" min="55" max="55" width="2.88"/>
    <col customWidth="1" min="56" max="58" width="3.38"/>
    <col customWidth="1" min="59" max="59" width="3.13"/>
    <col customWidth="1" min="60" max="60" width="3.0"/>
    <col customWidth="1" min="61" max="62" width="2.88"/>
    <col customWidth="1" min="63" max="66" width="2.75"/>
    <col customWidth="1" min="67" max="67" width="3.0"/>
    <col customWidth="1" min="68" max="68" width="2.88"/>
    <col customWidth="1" min="69" max="69" width="3.13"/>
    <col customWidth="1" min="70" max="72" width="2.88"/>
    <col customWidth="1" min="73" max="73" width="3.0"/>
    <col customWidth="1" min="74" max="74" width="3.25"/>
    <col customWidth="1" min="75" max="75" width="3.13"/>
    <col customWidth="1" min="76" max="76" width="3.25"/>
    <col customWidth="1" min="77" max="79" width="2.75"/>
    <col customWidth="1" min="80" max="126" width="3.75"/>
  </cols>
  <sheetData>
    <row r="1">
      <c r="A1" s="135"/>
      <c r="B1" s="136"/>
      <c r="C1" s="137" t="s">
        <v>144</v>
      </c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25"/>
      <c r="AC1" s="135"/>
      <c r="AD1" s="135"/>
      <c r="AE1" s="139" t="s">
        <v>145</v>
      </c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25"/>
      <c r="BE1" s="135"/>
      <c r="BF1" s="135"/>
      <c r="BG1" s="137" t="s">
        <v>146</v>
      </c>
      <c r="BH1" s="138"/>
      <c r="BI1" s="138"/>
      <c r="BJ1" s="138"/>
      <c r="BK1" s="138"/>
      <c r="BL1" s="138"/>
      <c r="BM1" s="138"/>
      <c r="BN1" s="138"/>
      <c r="BO1" s="138"/>
      <c r="BP1" s="138"/>
      <c r="BQ1" s="138"/>
      <c r="BR1" s="138"/>
      <c r="BS1" s="138"/>
      <c r="BT1" s="138"/>
      <c r="BU1" s="138"/>
      <c r="BV1" s="138"/>
      <c r="BW1" s="138"/>
      <c r="BX1" s="138"/>
      <c r="BY1" s="138"/>
      <c r="BZ1" s="138"/>
      <c r="CA1" s="138"/>
      <c r="CB1" s="138"/>
      <c r="CC1" s="138"/>
      <c r="CD1" s="138"/>
      <c r="CE1" s="138"/>
      <c r="CF1" s="25"/>
      <c r="CG1" s="135"/>
      <c r="CH1" s="135"/>
      <c r="CI1" s="137" t="s">
        <v>147</v>
      </c>
      <c r="CJ1" s="138"/>
      <c r="CK1" s="138"/>
      <c r="CL1" s="138"/>
      <c r="CM1" s="138"/>
      <c r="CN1" s="138"/>
      <c r="CO1" s="138"/>
      <c r="CP1" s="138"/>
      <c r="CQ1" s="138"/>
      <c r="CR1" s="138"/>
      <c r="CS1" s="138"/>
      <c r="CT1" s="138"/>
      <c r="CU1" s="138"/>
      <c r="CV1" s="138"/>
      <c r="CW1" s="138"/>
      <c r="CX1" s="138"/>
      <c r="CY1" s="138"/>
      <c r="CZ1" s="138"/>
      <c r="DA1" s="138"/>
      <c r="DB1" s="138"/>
      <c r="DC1" s="138"/>
      <c r="DD1" s="138"/>
      <c r="DE1" s="138"/>
      <c r="DF1" s="138"/>
      <c r="DG1" s="138"/>
      <c r="DH1" s="25"/>
      <c r="DI1" s="135"/>
      <c r="DJ1" s="135"/>
      <c r="DK1" s="137" t="s">
        <v>148</v>
      </c>
      <c r="DL1" s="138"/>
      <c r="DM1" s="138"/>
      <c r="DN1" s="138"/>
      <c r="DO1" s="138"/>
      <c r="DP1" s="138"/>
      <c r="DQ1" s="138"/>
      <c r="DR1" s="138"/>
      <c r="DS1" s="138"/>
      <c r="DT1" s="138"/>
      <c r="DU1" s="138"/>
      <c r="DV1" s="25"/>
    </row>
    <row r="2">
      <c r="A2" s="140" t="s">
        <v>149</v>
      </c>
      <c r="B2" s="141" t="s">
        <v>150</v>
      </c>
      <c r="C2" s="142" t="s">
        <v>151</v>
      </c>
      <c r="D2" s="138"/>
      <c r="E2" s="138"/>
      <c r="F2" s="138"/>
      <c r="G2" s="25"/>
      <c r="H2" s="135"/>
      <c r="I2" s="135"/>
      <c r="J2" s="143" t="s">
        <v>152</v>
      </c>
      <c r="K2" s="138"/>
      <c r="L2" s="138"/>
      <c r="M2" s="138"/>
      <c r="N2" s="25"/>
      <c r="O2" s="135"/>
      <c r="P2" s="135"/>
      <c r="Q2" s="143" t="s">
        <v>153</v>
      </c>
      <c r="R2" s="138"/>
      <c r="S2" s="138"/>
      <c r="T2" s="138"/>
      <c r="U2" s="25"/>
      <c r="V2" s="135"/>
      <c r="W2" s="135"/>
      <c r="X2" s="143" t="s">
        <v>154</v>
      </c>
      <c r="Y2" s="138"/>
      <c r="Z2" s="138"/>
      <c r="AA2" s="138"/>
      <c r="AB2" s="25"/>
      <c r="AC2" s="135"/>
      <c r="AD2" s="135"/>
      <c r="AE2" s="144" t="s">
        <v>155</v>
      </c>
      <c r="AF2" s="138"/>
      <c r="AG2" s="138"/>
      <c r="AH2" s="138"/>
      <c r="AI2" s="25"/>
      <c r="AJ2" s="135"/>
      <c r="AK2" s="135"/>
      <c r="AL2" s="144" t="s">
        <v>156</v>
      </c>
      <c r="AM2" s="138"/>
      <c r="AN2" s="138"/>
      <c r="AO2" s="138"/>
      <c r="AP2" s="25"/>
      <c r="AQ2" s="135"/>
      <c r="AR2" s="135"/>
      <c r="AS2" s="144" t="s">
        <v>157</v>
      </c>
      <c r="AT2" s="138"/>
      <c r="AU2" s="138"/>
      <c r="AV2" s="138"/>
      <c r="AW2" s="25"/>
      <c r="AX2" s="135"/>
      <c r="AY2" s="135"/>
      <c r="AZ2" s="144" t="s">
        <v>158</v>
      </c>
      <c r="BA2" s="138"/>
      <c r="BB2" s="138"/>
      <c r="BC2" s="138"/>
      <c r="BD2" s="25"/>
      <c r="BE2" s="135"/>
      <c r="BF2" s="135"/>
      <c r="BG2" s="145" t="s">
        <v>159</v>
      </c>
      <c r="BH2" s="138"/>
      <c r="BI2" s="138"/>
      <c r="BJ2" s="138"/>
      <c r="BK2" s="25"/>
      <c r="BL2" s="135"/>
      <c r="BM2" s="135"/>
      <c r="BN2" s="144" t="s">
        <v>160</v>
      </c>
      <c r="BO2" s="138"/>
      <c r="BP2" s="138"/>
      <c r="BQ2" s="138"/>
      <c r="BR2" s="25"/>
      <c r="BS2" s="135"/>
      <c r="BT2" s="135"/>
      <c r="BU2" s="145" t="s">
        <v>161</v>
      </c>
      <c r="BV2" s="138"/>
      <c r="BW2" s="138"/>
      <c r="BX2" s="138"/>
      <c r="BY2" s="25"/>
      <c r="BZ2" s="135"/>
      <c r="CA2" s="135"/>
      <c r="CB2" s="144" t="s">
        <v>162</v>
      </c>
      <c r="CC2" s="138"/>
      <c r="CD2" s="138"/>
      <c r="CE2" s="138"/>
      <c r="CF2" s="25"/>
      <c r="CG2" s="135"/>
      <c r="CH2" s="135"/>
      <c r="CI2" s="144" t="s">
        <v>163</v>
      </c>
      <c r="CJ2" s="138"/>
      <c r="CK2" s="138"/>
      <c r="CL2" s="138"/>
      <c r="CM2" s="25"/>
      <c r="CN2" s="135"/>
      <c r="CO2" s="135"/>
      <c r="CP2" s="144" t="s">
        <v>164</v>
      </c>
      <c r="CQ2" s="138"/>
      <c r="CR2" s="138"/>
      <c r="CS2" s="138"/>
      <c r="CT2" s="25"/>
      <c r="CU2" s="135"/>
      <c r="CV2" s="135"/>
      <c r="CW2" s="144" t="s">
        <v>165</v>
      </c>
      <c r="CX2" s="138"/>
      <c r="CY2" s="138"/>
      <c r="CZ2" s="138"/>
      <c r="DA2" s="25"/>
      <c r="DB2" s="135"/>
      <c r="DC2" s="135"/>
      <c r="DD2" s="144" t="s">
        <v>166</v>
      </c>
      <c r="DE2" s="138"/>
      <c r="DF2" s="138"/>
      <c r="DG2" s="138"/>
      <c r="DH2" s="25"/>
      <c r="DI2" s="135"/>
      <c r="DJ2" s="135"/>
      <c r="DK2" s="144" t="s">
        <v>167</v>
      </c>
      <c r="DL2" s="138"/>
      <c r="DM2" s="138"/>
      <c r="DN2" s="138"/>
      <c r="DO2" s="25"/>
      <c r="DP2" s="135"/>
      <c r="DQ2" s="135"/>
      <c r="DR2" s="144" t="s">
        <v>168</v>
      </c>
      <c r="DS2" s="138"/>
      <c r="DT2" s="138"/>
      <c r="DU2" s="138"/>
      <c r="DV2" s="25"/>
    </row>
    <row r="3">
      <c r="A3" s="146"/>
      <c r="B3" s="147" t="s">
        <v>169</v>
      </c>
      <c r="C3" s="148" t="s">
        <v>170</v>
      </c>
      <c r="D3" s="148" t="s">
        <v>171</v>
      </c>
      <c r="E3" s="148" t="s">
        <v>171</v>
      </c>
      <c r="F3" s="148" t="s">
        <v>172</v>
      </c>
      <c r="G3" s="148" t="s">
        <v>173</v>
      </c>
      <c r="H3" s="149" t="s">
        <v>174</v>
      </c>
      <c r="I3" s="149" t="s">
        <v>175</v>
      </c>
      <c r="J3" s="148" t="s">
        <v>170</v>
      </c>
      <c r="K3" s="148" t="s">
        <v>171</v>
      </c>
      <c r="L3" s="148" t="s">
        <v>171</v>
      </c>
      <c r="M3" s="148" t="s">
        <v>172</v>
      </c>
      <c r="N3" s="148" t="s">
        <v>173</v>
      </c>
      <c r="O3" s="150" t="s">
        <v>174</v>
      </c>
      <c r="P3" s="150" t="s">
        <v>175</v>
      </c>
      <c r="Q3" s="148" t="s">
        <v>170</v>
      </c>
      <c r="R3" s="148" t="s">
        <v>171</v>
      </c>
      <c r="S3" s="148" t="s">
        <v>171</v>
      </c>
      <c r="T3" s="148" t="s">
        <v>172</v>
      </c>
      <c r="U3" s="148" t="s">
        <v>173</v>
      </c>
      <c r="V3" s="149" t="s">
        <v>174</v>
      </c>
      <c r="W3" s="149" t="s">
        <v>175</v>
      </c>
      <c r="X3" s="148" t="s">
        <v>170</v>
      </c>
      <c r="Y3" s="148" t="s">
        <v>171</v>
      </c>
      <c r="Z3" s="148" t="s">
        <v>171</v>
      </c>
      <c r="AA3" s="148" t="s">
        <v>172</v>
      </c>
      <c r="AB3" s="148" t="s">
        <v>173</v>
      </c>
      <c r="AC3" s="149" t="s">
        <v>174</v>
      </c>
      <c r="AD3" s="149" t="s">
        <v>175</v>
      </c>
      <c r="AE3" s="148" t="s">
        <v>170</v>
      </c>
      <c r="AF3" s="148" t="s">
        <v>171</v>
      </c>
      <c r="AG3" s="148" t="s">
        <v>171</v>
      </c>
      <c r="AH3" s="148" t="s">
        <v>172</v>
      </c>
      <c r="AI3" s="148" t="s">
        <v>173</v>
      </c>
      <c r="AJ3" s="150" t="s">
        <v>174</v>
      </c>
      <c r="AK3" s="150" t="s">
        <v>175</v>
      </c>
      <c r="AL3" s="148" t="s">
        <v>170</v>
      </c>
      <c r="AM3" s="148" t="s">
        <v>171</v>
      </c>
      <c r="AN3" s="148" t="s">
        <v>171</v>
      </c>
      <c r="AO3" s="148" t="s">
        <v>172</v>
      </c>
      <c r="AP3" s="148" t="s">
        <v>173</v>
      </c>
      <c r="AQ3" s="150" t="s">
        <v>174</v>
      </c>
      <c r="AR3" s="150" t="s">
        <v>175</v>
      </c>
      <c r="AS3" s="148" t="s">
        <v>170</v>
      </c>
      <c r="AT3" s="148" t="s">
        <v>171</v>
      </c>
      <c r="AU3" s="148" t="s">
        <v>171</v>
      </c>
      <c r="AV3" s="148" t="s">
        <v>172</v>
      </c>
      <c r="AW3" s="148" t="s">
        <v>173</v>
      </c>
      <c r="AX3" s="149"/>
      <c r="AY3" s="149"/>
      <c r="AZ3" s="148" t="s">
        <v>170</v>
      </c>
      <c r="BA3" s="148" t="s">
        <v>171</v>
      </c>
      <c r="BB3" s="148" t="s">
        <v>171</v>
      </c>
      <c r="BC3" s="148" t="s">
        <v>172</v>
      </c>
      <c r="BD3" s="148" t="s">
        <v>173</v>
      </c>
      <c r="BE3" s="149"/>
      <c r="BF3" s="149"/>
      <c r="BG3" s="148" t="s">
        <v>170</v>
      </c>
      <c r="BH3" s="148" t="s">
        <v>171</v>
      </c>
      <c r="BI3" s="148" t="s">
        <v>171</v>
      </c>
      <c r="BJ3" s="148" t="s">
        <v>172</v>
      </c>
      <c r="BK3" s="148" t="s">
        <v>173</v>
      </c>
      <c r="BL3" s="149"/>
      <c r="BM3" s="149"/>
      <c r="BN3" s="148" t="s">
        <v>170</v>
      </c>
      <c r="BO3" s="148" t="s">
        <v>171</v>
      </c>
      <c r="BP3" s="148" t="s">
        <v>171</v>
      </c>
      <c r="BQ3" s="148" t="s">
        <v>172</v>
      </c>
      <c r="BR3" s="148" t="s">
        <v>173</v>
      </c>
      <c r="BS3" s="150"/>
      <c r="BT3" s="150"/>
      <c r="BU3" s="148" t="s">
        <v>170</v>
      </c>
      <c r="BV3" s="148" t="s">
        <v>171</v>
      </c>
      <c r="BW3" s="148" t="s">
        <v>171</v>
      </c>
      <c r="BX3" s="148" t="s">
        <v>172</v>
      </c>
      <c r="BY3" s="148" t="s">
        <v>173</v>
      </c>
      <c r="BZ3" s="150"/>
      <c r="CA3" s="150"/>
      <c r="CB3" s="148" t="s">
        <v>170</v>
      </c>
      <c r="CC3" s="148" t="s">
        <v>171</v>
      </c>
      <c r="CD3" s="148" t="s">
        <v>171</v>
      </c>
      <c r="CE3" s="148" t="s">
        <v>172</v>
      </c>
      <c r="CF3" s="148" t="s">
        <v>173</v>
      </c>
      <c r="CG3" s="150"/>
      <c r="CH3" s="150"/>
      <c r="CI3" s="148" t="s">
        <v>170</v>
      </c>
      <c r="CJ3" s="148" t="s">
        <v>171</v>
      </c>
      <c r="CK3" s="148" t="s">
        <v>171</v>
      </c>
      <c r="CL3" s="148" t="s">
        <v>172</v>
      </c>
      <c r="CM3" s="148" t="s">
        <v>173</v>
      </c>
      <c r="CN3" s="150"/>
      <c r="CO3" s="150"/>
      <c r="CP3" s="148" t="s">
        <v>170</v>
      </c>
      <c r="CQ3" s="148" t="s">
        <v>171</v>
      </c>
      <c r="CR3" s="148" t="s">
        <v>171</v>
      </c>
      <c r="CS3" s="148" t="s">
        <v>172</v>
      </c>
      <c r="CT3" s="148" t="s">
        <v>173</v>
      </c>
      <c r="CU3" s="150"/>
      <c r="CV3" s="150"/>
      <c r="CW3" s="148" t="s">
        <v>170</v>
      </c>
      <c r="CX3" s="148" t="s">
        <v>171</v>
      </c>
      <c r="CY3" s="148" t="s">
        <v>171</v>
      </c>
      <c r="CZ3" s="148" t="s">
        <v>172</v>
      </c>
      <c r="DA3" s="148" t="s">
        <v>173</v>
      </c>
      <c r="DB3" s="150"/>
      <c r="DC3" s="150"/>
      <c r="DD3" s="148" t="s">
        <v>170</v>
      </c>
      <c r="DE3" s="148" t="s">
        <v>171</v>
      </c>
      <c r="DF3" s="148" t="s">
        <v>171</v>
      </c>
      <c r="DG3" s="148" t="s">
        <v>172</v>
      </c>
      <c r="DH3" s="148" t="s">
        <v>173</v>
      </c>
      <c r="DI3" s="150"/>
      <c r="DJ3" s="150"/>
      <c r="DK3" s="148" t="s">
        <v>170</v>
      </c>
      <c r="DL3" s="148" t="s">
        <v>171</v>
      </c>
      <c r="DM3" s="148" t="s">
        <v>171</v>
      </c>
      <c r="DN3" s="148" t="s">
        <v>172</v>
      </c>
      <c r="DO3" s="148" t="s">
        <v>173</v>
      </c>
      <c r="DP3" s="150"/>
      <c r="DQ3" s="150"/>
      <c r="DR3" s="148" t="s">
        <v>170</v>
      </c>
      <c r="DS3" s="148" t="s">
        <v>171</v>
      </c>
      <c r="DT3" s="148" t="s">
        <v>171</v>
      </c>
      <c r="DU3" s="148" t="s">
        <v>172</v>
      </c>
      <c r="DV3" s="148" t="s">
        <v>173</v>
      </c>
    </row>
    <row r="4">
      <c r="A4" s="146">
        <v>1.0</v>
      </c>
      <c r="B4" s="151" t="s">
        <v>176</v>
      </c>
      <c r="C4" s="152"/>
      <c r="D4" s="153"/>
      <c r="E4" s="154"/>
      <c r="F4" s="154"/>
      <c r="G4" s="154"/>
      <c r="H4" s="155"/>
      <c r="I4" s="155"/>
      <c r="J4" s="156"/>
      <c r="K4" s="156"/>
      <c r="L4" s="156"/>
      <c r="M4" s="156"/>
      <c r="N4" s="156"/>
      <c r="O4" s="155"/>
      <c r="P4" s="155"/>
      <c r="Q4" s="156"/>
      <c r="R4" s="156"/>
      <c r="S4" s="156"/>
      <c r="T4" s="156"/>
      <c r="U4" s="156"/>
      <c r="V4" s="155"/>
      <c r="W4" s="155"/>
      <c r="X4" s="156"/>
      <c r="Y4" s="156"/>
      <c r="Z4" s="156"/>
      <c r="AA4" s="156"/>
      <c r="AB4" s="156"/>
      <c r="AC4" s="155"/>
      <c r="AD4" s="155"/>
      <c r="AE4" s="156"/>
      <c r="AF4" s="156"/>
      <c r="AG4" s="156"/>
      <c r="AH4" s="156"/>
      <c r="AI4" s="156"/>
      <c r="AJ4" s="155"/>
      <c r="AK4" s="155"/>
      <c r="AL4" s="156"/>
      <c r="AM4" s="156"/>
      <c r="AN4" s="156"/>
      <c r="AO4" s="156"/>
      <c r="AP4" s="156"/>
      <c r="AQ4" s="155"/>
      <c r="AR4" s="155"/>
      <c r="AS4" s="156"/>
      <c r="AT4" s="156"/>
      <c r="AU4" s="156"/>
      <c r="AV4" s="156"/>
      <c r="AW4" s="156"/>
      <c r="AX4" s="155"/>
      <c r="AY4" s="155"/>
      <c r="AZ4" s="156"/>
      <c r="BA4" s="156"/>
      <c r="BB4" s="156"/>
      <c r="BC4" s="156"/>
      <c r="BD4" s="156"/>
      <c r="BE4" s="155"/>
      <c r="BF4" s="155"/>
      <c r="BG4" s="156"/>
      <c r="BH4" s="156"/>
      <c r="BI4" s="156"/>
      <c r="BJ4" s="156"/>
      <c r="BK4" s="156"/>
      <c r="BL4" s="155"/>
      <c r="BM4" s="155"/>
      <c r="BN4" s="156"/>
      <c r="BO4" s="156"/>
      <c r="BP4" s="156"/>
      <c r="BQ4" s="156"/>
      <c r="BR4" s="156"/>
      <c r="BS4" s="155"/>
      <c r="BT4" s="155"/>
      <c r="BU4" s="156"/>
      <c r="BV4" s="156"/>
      <c r="BW4" s="156"/>
      <c r="BX4" s="156"/>
      <c r="BY4" s="156"/>
      <c r="BZ4" s="155"/>
      <c r="CA4" s="155"/>
      <c r="CB4" s="156"/>
      <c r="CC4" s="156"/>
      <c r="CD4" s="156"/>
      <c r="CE4" s="156"/>
      <c r="CF4" s="156"/>
      <c r="CG4" s="155"/>
      <c r="CH4" s="155"/>
      <c r="CI4" s="156"/>
      <c r="CJ4" s="156"/>
      <c r="CK4" s="156"/>
      <c r="CL4" s="156"/>
      <c r="CM4" s="156"/>
      <c r="CN4" s="155"/>
      <c r="CO4" s="155"/>
      <c r="CP4" s="156"/>
      <c r="CQ4" s="156"/>
      <c r="CR4" s="156"/>
      <c r="CS4" s="156"/>
      <c r="CT4" s="156"/>
      <c r="CU4" s="155"/>
      <c r="CV4" s="155"/>
      <c r="CW4" s="156"/>
      <c r="CX4" s="156"/>
      <c r="CY4" s="156"/>
      <c r="CZ4" s="156"/>
      <c r="DA4" s="156"/>
      <c r="DB4" s="155"/>
      <c r="DC4" s="155"/>
      <c r="DD4" s="156"/>
      <c r="DE4" s="156"/>
      <c r="DF4" s="156"/>
      <c r="DG4" s="156"/>
      <c r="DH4" s="156"/>
      <c r="DI4" s="155"/>
      <c r="DJ4" s="155"/>
      <c r="DK4" s="156"/>
      <c r="DL4" s="156"/>
      <c r="DM4" s="156"/>
      <c r="DN4" s="156"/>
      <c r="DO4" s="156"/>
      <c r="DP4" s="155"/>
      <c r="DQ4" s="155"/>
      <c r="DR4" s="156"/>
      <c r="DS4" s="156"/>
      <c r="DT4" s="156"/>
      <c r="DU4" s="156"/>
      <c r="DV4" s="156"/>
    </row>
    <row r="5">
      <c r="A5" s="146">
        <v>2.0</v>
      </c>
      <c r="B5" s="151" t="s">
        <v>177</v>
      </c>
      <c r="C5" s="154"/>
      <c r="D5" s="152"/>
      <c r="E5" s="152"/>
      <c r="F5" s="154"/>
      <c r="G5" s="154"/>
      <c r="H5" s="155"/>
      <c r="I5" s="155"/>
      <c r="J5" s="156"/>
      <c r="K5" s="156"/>
      <c r="L5" s="156"/>
      <c r="M5" s="156"/>
      <c r="N5" s="156"/>
      <c r="O5" s="155"/>
      <c r="P5" s="155"/>
      <c r="Q5" s="156"/>
      <c r="R5" s="156"/>
      <c r="S5" s="156"/>
      <c r="T5" s="156"/>
      <c r="U5" s="156"/>
      <c r="V5" s="155"/>
      <c r="W5" s="155"/>
      <c r="X5" s="156"/>
      <c r="Y5" s="156"/>
      <c r="Z5" s="156"/>
      <c r="AA5" s="156"/>
      <c r="AB5" s="156"/>
      <c r="AC5" s="155"/>
      <c r="AD5" s="155"/>
      <c r="AE5" s="156"/>
      <c r="AF5" s="156"/>
      <c r="AG5" s="156"/>
      <c r="AH5" s="156"/>
      <c r="AI5" s="156"/>
      <c r="AJ5" s="155"/>
      <c r="AK5" s="155"/>
      <c r="AL5" s="156"/>
      <c r="AM5" s="156"/>
      <c r="AN5" s="156"/>
      <c r="AO5" s="156"/>
      <c r="AP5" s="156"/>
      <c r="AQ5" s="155"/>
      <c r="AR5" s="155"/>
      <c r="AS5" s="156"/>
      <c r="AT5" s="156"/>
      <c r="AU5" s="156"/>
      <c r="AV5" s="156"/>
      <c r="AW5" s="156"/>
      <c r="AX5" s="155"/>
      <c r="AY5" s="155"/>
      <c r="AZ5" s="156"/>
      <c r="BA5" s="156"/>
      <c r="BB5" s="156"/>
      <c r="BC5" s="156"/>
      <c r="BD5" s="156"/>
      <c r="BE5" s="155"/>
      <c r="BF5" s="155"/>
      <c r="BG5" s="156"/>
      <c r="BH5" s="156"/>
      <c r="BI5" s="156"/>
      <c r="BJ5" s="156"/>
      <c r="BK5" s="156"/>
      <c r="BL5" s="155"/>
      <c r="BM5" s="155"/>
      <c r="BN5" s="156"/>
      <c r="BO5" s="156"/>
      <c r="BP5" s="156"/>
      <c r="BQ5" s="156"/>
      <c r="BR5" s="156"/>
      <c r="BS5" s="155"/>
      <c r="BT5" s="155"/>
      <c r="BU5" s="156"/>
      <c r="BV5" s="156"/>
      <c r="BW5" s="156"/>
      <c r="BX5" s="156"/>
      <c r="BY5" s="156"/>
      <c r="BZ5" s="155"/>
      <c r="CA5" s="155"/>
      <c r="CB5" s="156"/>
      <c r="CC5" s="156"/>
      <c r="CD5" s="156"/>
      <c r="CE5" s="156"/>
      <c r="CF5" s="156"/>
      <c r="CG5" s="155"/>
      <c r="CH5" s="155"/>
      <c r="CI5" s="156"/>
      <c r="CJ5" s="156"/>
      <c r="CK5" s="156"/>
      <c r="CL5" s="156"/>
      <c r="CM5" s="156"/>
      <c r="CN5" s="155"/>
      <c r="CO5" s="155"/>
      <c r="CP5" s="156"/>
      <c r="CQ5" s="156"/>
      <c r="CR5" s="156"/>
      <c r="CS5" s="156"/>
      <c r="CT5" s="156"/>
      <c r="CU5" s="155"/>
      <c r="CV5" s="155"/>
      <c r="CW5" s="156"/>
      <c r="CX5" s="156"/>
      <c r="CY5" s="156"/>
      <c r="CZ5" s="156"/>
      <c r="DA5" s="156"/>
      <c r="DB5" s="155"/>
      <c r="DC5" s="155"/>
      <c r="DD5" s="156"/>
      <c r="DE5" s="156"/>
      <c r="DF5" s="156"/>
      <c r="DG5" s="156"/>
      <c r="DH5" s="156"/>
      <c r="DI5" s="155"/>
      <c r="DJ5" s="155"/>
      <c r="DK5" s="156"/>
      <c r="DL5" s="156"/>
      <c r="DM5" s="156"/>
      <c r="DN5" s="156"/>
      <c r="DO5" s="156"/>
      <c r="DP5" s="155"/>
      <c r="DQ5" s="155"/>
      <c r="DR5" s="156"/>
      <c r="DS5" s="156"/>
      <c r="DT5" s="156"/>
      <c r="DU5" s="156"/>
      <c r="DV5" s="156"/>
    </row>
    <row r="6">
      <c r="A6" s="146">
        <v>3.0</v>
      </c>
      <c r="B6" s="151" t="s">
        <v>178</v>
      </c>
      <c r="C6" s="157"/>
      <c r="D6" s="157"/>
      <c r="E6" s="158"/>
      <c r="F6" s="152"/>
      <c r="G6" s="157"/>
      <c r="H6" s="159"/>
      <c r="I6" s="159"/>
      <c r="J6" s="55"/>
      <c r="K6" s="55"/>
      <c r="L6" s="55"/>
      <c r="M6" s="55"/>
      <c r="N6" s="55"/>
      <c r="O6" s="159"/>
      <c r="P6" s="159"/>
      <c r="Q6" s="55"/>
      <c r="R6" s="55"/>
      <c r="S6" s="55"/>
      <c r="T6" s="55"/>
      <c r="U6" s="55"/>
      <c r="V6" s="159"/>
      <c r="W6" s="159"/>
      <c r="X6" s="55"/>
      <c r="Y6" s="55"/>
      <c r="Z6" s="55"/>
      <c r="AA6" s="55"/>
      <c r="AB6" s="55"/>
      <c r="AC6" s="159"/>
      <c r="AD6" s="159"/>
      <c r="AE6" s="55"/>
      <c r="AF6" s="55"/>
      <c r="AG6" s="55"/>
      <c r="AH6" s="55"/>
      <c r="AI6" s="55"/>
      <c r="AJ6" s="159"/>
      <c r="AK6" s="159"/>
      <c r="AL6" s="55"/>
      <c r="AM6" s="55"/>
      <c r="AN6" s="55"/>
      <c r="AO6" s="55"/>
      <c r="AP6" s="55"/>
      <c r="AQ6" s="159"/>
      <c r="AR6" s="159"/>
      <c r="AS6" s="55"/>
      <c r="AT6" s="55"/>
      <c r="AU6" s="55"/>
      <c r="AV6" s="55"/>
      <c r="AW6" s="55"/>
      <c r="AX6" s="159"/>
      <c r="AY6" s="159"/>
      <c r="AZ6" s="55"/>
      <c r="BA6" s="55"/>
      <c r="BB6" s="55"/>
      <c r="BC6" s="55"/>
      <c r="BD6" s="55"/>
      <c r="BE6" s="159"/>
      <c r="BF6" s="159"/>
      <c r="BG6" s="55"/>
      <c r="BH6" s="55"/>
      <c r="BI6" s="55"/>
      <c r="BJ6" s="55"/>
      <c r="BK6" s="55"/>
      <c r="BL6" s="159"/>
      <c r="BM6" s="159"/>
      <c r="BN6" s="55"/>
      <c r="BO6" s="55"/>
      <c r="BP6" s="55"/>
      <c r="BQ6" s="55"/>
      <c r="BR6" s="55"/>
      <c r="BS6" s="159"/>
      <c r="BT6" s="159"/>
      <c r="BU6" s="55"/>
      <c r="BV6" s="55"/>
      <c r="BW6" s="55"/>
      <c r="BX6" s="55"/>
      <c r="BY6" s="55"/>
      <c r="BZ6" s="159"/>
      <c r="CA6" s="159"/>
      <c r="CB6" s="55"/>
      <c r="CC6" s="55"/>
      <c r="CD6" s="55"/>
      <c r="CE6" s="55"/>
      <c r="CF6" s="55"/>
      <c r="CG6" s="159"/>
      <c r="CH6" s="159"/>
      <c r="CI6" s="156"/>
      <c r="CJ6" s="156"/>
      <c r="CK6" s="156"/>
      <c r="CL6" s="156"/>
      <c r="CM6" s="156"/>
      <c r="CN6" s="155"/>
      <c r="CO6" s="155"/>
      <c r="CP6" s="156"/>
      <c r="CQ6" s="156"/>
      <c r="CR6" s="156"/>
      <c r="CS6" s="156"/>
      <c r="CT6" s="156"/>
      <c r="CU6" s="155"/>
      <c r="CV6" s="155"/>
      <c r="CW6" s="156"/>
      <c r="CX6" s="156"/>
      <c r="CY6" s="156"/>
      <c r="CZ6" s="156"/>
      <c r="DA6" s="156"/>
      <c r="DB6" s="155"/>
      <c r="DC6" s="155"/>
      <c r="DD6" s="156"/>
      <c r="DE6" s="156"/>
      <c r="DF6" s="156"/>
      <c r="DG6" s="156"/>
      <c r="DH6" s="156"/>
      <c r="DI6" s="155"/>
      <c r="DJ6" s="155"/>
      <c r="DK6" s="156"/>
      <c r="DL6" s="156"/>
      <c r="DM6" s="156"/>
      <c r="DN6" s="156"/>
      <c r="DO6" s="156"/>
      <c r="DP6" s="155"/>
      <c r="DQ6" s="155"/>
      <c r="DR6" s="156"/>
      <c r="DS6" s="156"/>
      <c r="DT6" s="156"/>
      <c r="DU6" s="156"/>
      <c r="DV6" s="156"/>
    </row>
    <row r="7">
      <c r="A7" s="146">
        <v>4.0</v>
      </c>
      <c r="B7" s="151" t="s">
        <v>179</v>
      </c>
      <c r="C7" s="157"/>
      <c r="D7" s="157"/>
      <c r="E7" s="157"/>
      <c r="F7" s="157"/>
      <c r="G7" s="152"/>
      <c r="H7" s="159"/>
      <c r="I7" s="159"/>
      <c r="J7" s="152"/>
      <c r="K7" s="152"/>
      <c r="L7" s="55"/>
      <c r="M7" s="55"/>
      <c r="N7" s="55"/>
      <c r="O7" s="159"/>
      <c r="P7" s="159"/>
      <c r="Q7" s="55"/>
      <c r="R7" s="55"/>
      <c r="S7" s="55"/>
      <c r="T7" s="55"/>
      <c r="U7" s="55"/>
      <c r="V7" s="159"/>
      <c r="W7" s="159"/>
      <c r="X7" s="55"/>
      <c r="Y7" s="55"/>
      <c r="Z7" s="55"/>
      <c r="AA7" s="55"/>
      <c r="AB7" s="55"/>
      <c r="AC7" s="159"/>
      <c r="AD7" s="159"/>
      <c r="AE7" s="55"/>
      <c r="AF7" s="55"/>
      <c r="AG7" s="55"/>
      <c r="AH7" s="55"/>
      <c r="AI7" s="55"/>
      <c r="AJ7" s="159"/>
      <c r="AK7" s="159"/>
      <c r="AL7" s="55"/>
      <c r="AM7" s="55"/>
      <c r="AN7" s="55"/>
      <c r="AO7" s="55"/>
      <c r="AP7" s="55"/>
      <c r="AQ7" s="159"/>
      <c r="AR7" s="159"/>
      <c r="AS7" s="55"/>
      <c r="AT7" s="55"/>
      <c r="AU7" s="55"/>
      <c r="AV7" s="55"/>
      <c r="AW7" s="55"/>
      <c r="AX7" s="159"/>
      <c r="AY7" s="159"/>
      <c r="AZ7" s="55"/>
      <c r="BA7" s="55"/>
      <c r="BB7" s="55"/>
      <c r="BC7" s="55"/>
      <c r="BD7" s="55"/>
      <c r="BE7" s="159"/>
      <c r="BF7" s="159"/>
      <c r="BG7" s="55"/>
      <c r="BH7" s="55"/>
      <c r="BI7" s="55"/>
      <c r="BJ7" s="55"/>
      <c r="BK7" s="55"/>
      <c r="BL7" s="159"/>
      <c r="BM7" s="159"/>
      <c r="BN7" s="55"/>
      <c r="BO7" s="55"/>
      <c r="BP7" s="55"/>
      <c r="BQ7" s="55"/>
      <c r="BR7" s="55"/>
      <c r="BS7" s="159"/>
      <c r="BT7" s="159"/>
      <c r="BU7" s="55"/>
      <c r="BV7" s="55"/>
      <c r="BW7" s="55"/>
      <c r="BX7" s="55"/>
      <c r="BY7" s="55"/>
      <c r="BZ7" s="159"/>
      <c r="CA7" s="159"/>
      <c r="CB7" s="55"/>
      <c r="CC7" s="55"/>
      <c r="CD7" s="55"/>
      <c r="CE7" s="55"/>
      <c r="CF7" s="55"/>
      <c r="CG7" s="159"/>
      <c r="CH7" s="159"/>
      <c r="CI7" s="156"/>
      <c r="CJ7" s="156"/>
      <c r="CK7" s="156"/>
      <c r="CL7" s="156"/>
      <c r="CM7" s="156"/>
      <c r="CN7" s="155"/>
      <c r="CO7" s="155"/>
      <c r="CP7" s="156"/>
      <c r="CQ7" s="156"/>
      <c r="CR7" s="156"/>
      <c r="CS7" s="156"/>
      <c r="CT7" s="156"/>
      <c r="CU7" s="155"/>
      <c r="CV7" s="155"/>
      <c r="CW7" s="156"/>
      <c r="CX7" s="156"/>
      <c r="CY7" s="156"/>
      <c r="CZ7" s="156"/>
      <c r="DA7" s="156"/>
      <c r="DB7" s="155"/>
      <c r="DC7" s="155"/>
      <c r="DD7" s="156"/>
      <c r="DE7" s="156"/>
      <c r="DF7" s="156"/>
      <c r="DG7" s="156"/>
      <c r="DH7" s="156"/>
      <c r="DI7" s="155"/>
      <c r="DJ7" s="155"/>
      <c r="DK7" s="156"/>
      <c r="DL7" s="156"/>
      <c r="DM7" s="156"/>
      <c r="DN7" s="156"/>
      <c r="DO7" s="156"/>
      <c r="DP7" s="155"/>
      <c r="DQ7" s="155"/>
      <c r="DR7" s="156"/>
      <c r="DS7" s="156"/>
      <c r="DT7" s="156"/>
      <c r="DU7" s="156"/>
      <c r="DV7" s="156"/>
    </row>
    <row r="8">
      <c r="A8" s="146">
        <v>5.0</v>
      </c>
      <c r="B8" s="151" t="s">
        <v>180</v>
      </c>
      <c r="C8" s="157"/>
      <c r="D8" s="157"/>
      <c r="E8" s="154"/>
      <c r="F8" s="154"/>
      <c r="G8" s="157"/>
      <c r="H8" s="159"/>
      <c r="I8" s="159"/>
      <c r="J8" s="55"/>
      <c r="K8" s="55"/>
      <c r="L8" s="152"/>
      <c r="M8" s="152"/>
      <c r="N8" s="55"/>
      <c r="O8" s="159"/>
      <c r="P8" s="159"/>
      <c r="Q8" s="55"/>
      <c r="R8" s="55"/>
      <c r="S8" s="55"/>
      <c r="T8" s="55"/>
      <c r="U8" s="55"/>
      <c r="V8" s="159"/>
      <c r="W8" s="159"/>
      <c r="X8" s="55"/>
      <c r="Y8" s="55"/>
      <c r="Z8" s="55"/>
      <c r="AA8" s="55"/>
      <c r="AB8" s="55"/>
      <c r="AC8" s="159"/>
      <c r="AD8" s="159"/>
      <c r="AE8" s="55"/>
      <c r="AF8" s="55"/>
      <c r="AG8" s="55"/>
      <c r="AH8" s="55"/>
      <c r="AI8" s="55"/>
      <c r="AJ8" s="159"/>
      <c r="AK8" s="159"/>
      <c r="AL8" s="55"/>
      <c r="AM8" s="55"/>
      <c r="AN8" s="55"/>
      <c r="AO8" s="55"/>
      <c r="AP8" s="55"/>
      <c r="AQ8" s="159"/>
      <c r="AR8" s="159"/>
      <c r="AS8" s="55"/>
      <c r="AT8" s="55"/>
      <c r="AU8" s="55"/>
      <c r="AV8" s="55"/>
      <c r="AW8" s="55"/>
      <c r="AX8" s="159"/>
      <c r="AY8" s="159"/>
      <c r="AZ8" s="55"/>
      <c r="BA8" s="55"/>
      <c r="BB8" s="55"/>
      <c r="BC8" s="55"/>
      <c r="BD8" s="55"/>
      <c r="BE8" s="159"/>
      <c r="BF8" s="159"/>
      <c r="BG8" s="55"/>
      <c r="BH8" s="55"/>
      <c r="BI8" s="55"/>
      <c r="BJ8" s="55"/>
      <c r="BK8" s="55"/>
      <c r="BL8" s="159"/>
      <c r="BM8" s="159"/>
      <c r="BN8" s="55"/>
      <c r="BO8" s="55"/>
      <c r="BP8" s="55"/>
      <c r="BQ8" s="55"/>
      <c r="BR8" s="55"/>
      <c r="BS8" s="159"/>
      <c r="BT8" s="159"/>
      <c r="BU8" s="55"/>
      <c r="BV8" s="55"/>
      <c r="BW8" s="55"/>
      <c r="BX8" s="55"/>
      <c r="BY8" s="55"/>
      <c r="BZ8" s="159"/>
      <c r="CA8" s="159"/>
      <c r="CB8" s="55"/>
      <c r="CC8" s="55"/>
      <c r="CD8" s="55"/>
      <c r="CE8" s="55"/>
      <c r="CF8" s="55"/>
      <c r="CG8" s="159"/>
      <c r="CH8" s="159"/>
      <c r="CI8" s="156"/>
      <c r="CJ8" s="156"/>
      <c r="CK8" s="156"/>
      <c r="CL8" s="156"/>
      <c r="CM8" s="156"/>
      <c r="CN8" s="155"/>
      <c r="CO8" s="155"/>
      <c r="CP8" s="156"/>
      <c r="CQ8" s="156"/>
      <c r="CR8" s="156"/>
      <c r="CS8" s="156"/>
      <c r="CT8" s="156"/>
      <c r="CU8" s="155"/>
      <c r="CV8" s="155"/>
      <c r="CW8" s="156"/>
      <c r="CX8" s="156"/>
      <c r="CY8" s="156"/>
      <c r="CZ8" s="156"/>
      <c r="DA8" s="156"/>
      <c r="DB8" s="155"/>
      <c r="DC8" s="155"/>
      <c r="DD8" s="156"/>
      <c r="DE8" s="156"/>
      <c r="DF8" s="156"/>
      <c r="DG8" s="156"/>
      <c r="DH8" s="156"/>
      <c r="DI8" s="155"/>
      <c r="DJ8" s="155"/>
      <c r="DK8" s="156"/>
      <c r="DL8" s="156"/>
      <c r="DM8" s="156"/>
      <c r="DN8" s="156"/>
      <c r="DO8" s="156"/>
      <c r="DP8" s="155"/>
      <c r="DQ8" s="155"/>
      <c r="DR8" s="156"/>
      <c r="DS8" s="156"/>
      <c r="DT8" s="156"/>
      <c r="DU8" s="156"/>
      <c r="DV8" s="156"/>
    </row>
    <row r="9">
      <c r="A9" s="146">
        <v>6.0</v>
      </c>
      <c r="B9" s="151" t="s">
        <v>181</v>
      </c>
      <c r="C9" s="55"/>
      <c r="D9" s="55"/>
      <c r="E9" s="157"/>
      <c r="F9" s="157"/>
      <c r="G9" s="154"/>
      <c r="H9" s="159"/>
      <c r="I9" s="159"/>
      <c r="J9" s="157"/>
      <c r="K9" s="157"/>
      <c r="L9" s="157"/>
      <c r="M9" s="153"/>
      <c r="N9" s="152"/>
      <c r="O9" s="159"/>
      <c r="P9" s="159"/>
      <c r="Q9" s="55"/>
      <c r="R9" s="55"/>
      <c r="S9" s="55"/>
      <c r="T9" s="55"/>
      <c r="U9" s="55"/>
      <c r="V9" s="159"/>
      <c r="W9" s="159"/>
      <c r="X9" s="55"/>
      <c r="Y9" s="55"/>
      <c r="Z9" s="55"/>
      <c r="AA9" s="55"/>
      <c r="AB9" s="55"/>
      <c r="AC9" s="159"/>
      <c r="AD9" s="159"/>
      <c r="AE9" s="55"/>
      <c r="AF9" s="55"/>
      <c r="AG9" s="55"/>
      <c r="AH9" s="55"/>
      <c r="AI9" s="55"/>
      <c r="AJ9" s="159"/>
      <c r="AK9" s="159"/>
      <c r="AL9" s="55"/>
      <c r="AM9" s="55"/>
      <c r="AN9" s="55"/>
      <c r="AO9" s="55"/>
      <c r="AP9" s="55"/>
      <c r="AQ9" s="159"/>
      <c r="AR9" s="159"/>
      <c r="AS9" s="55"/>
      <c r="AT9" s="55"/>
      <c r="AU9" s="55"/>
      <c r="AV9" s="55"/>
      <c r="AW9" s="55"/>
      <c r="AX9" s="159"/>
      <c r="AY9" s="159"/>
      <c r="AZ9" s="55"/>
      <c r="BA9" s="55"/>
      <c r="BB9" s="55"/>
      <c r="BC9" s="55"/>
      <c r="BD9" s="55"/>
      <c r="BE9" s="159"/>
      <c r="BF9" s="159"/>
      <c r="BG9" s="55"/>
      <c r="BH9" s="55"/>
      <c r="BI9" s="55"/>
      <c r="BJ9" s="55"/>
      <c r="BK9" s="55"/>
      <c r="BL9" s="159"/>
      <c r="BM9" s="159"/>
      <c r="BN9" s="55"/>
      <c r="BO9" s="55"/>
      <c r="BP9" s="55"/>
      <c r="BQ9" s="55"/>
      <c r="BR9" s="55"/>
      <c r="BS9" s="159"/>
      <c r="BT9" s="159"/>
      <c r="BU9" s="55"/>
      <c r="BV9" s="55"/>
      <c r="BW9" s="55"/>
      <c r="BX9" s="55"/>
      <c r="BY9" s="55"/>
      <c r="BZ9" s="159"/>
      <c r="CA9" s="159"/>
      <c r="CB9" s="55"/>
      <c r="CC9" s="55"/>
      <c r="CD9" s="55"/>
      <c r="CE9" s="55"/>
      <c r="CF9" s="55"/>
      <c r="CG9" s="159"/>
      <c r="CH9" s="159"/>
      <c r="CI9" s="156"/>
      <c r="CJ9" s="156"/>
      <c r="CK9" s="156"/>
      <c r="CL9" s="156"/>
      <c r="CM9" s="156"/>
      <c r="CN9" s="155"/>
      <c r="CO9" s="155"/>
      <c r="CP9" s="156"/>
      <c r="CQ9" s="156"/>
      <c r="CR9" s="156"/>
      <c r="CS9" s="156"/>
      <c r="CT9" s="156"/>
      <c r="CU9" s="155"/>
      <c r="CV9" s="155"/>
      <c r="CW9" s="156"/>
      <c r="CX9" s="156"/>
      <c r="CY9" s="156"/>
      <c r="CZ9" s="156"/>
      <c r="DA9" s="156"/>
      <c r="DB9" s="155"/>
      <c r="DC9" s="155"/>
      <c r="DD9" s="156"/>
      <c r="DE9" s="156"/>
      <c r="DF9" s="156"/>
      <c r="DG9" s="156"/>
      <c r="DH9" s="156"/>
      <c r="DI9" s="155"/>
      <c r="DJ9" s="155"/>
      <c r="DK9" s="156"/>
      <c r="DL9" s="156"/>
      <c r="DM9" s="156"/>
      <c r="DN9" s="156"/>
      <c r="DO9" s="156"/>
      <c r="DP9" s="155"/>
      <c r="DQ9" s="155"/>
      <c r="DR9" s="156"/>
      <c r="DS9" s="156"/>
      <c r="DT9" s="156"/>
      <c r="DU9" s="156"/>
      <c r="DV9" s="156"/>
    </row>
    <row r="10">
      <c r="A10" s="146"/>
      <c r="B10" s="147" t="s">
        <v>182</v>
      </c>
      <c r="C10" s="55"/>
      <c r="D10" s="55"/>
      <c r="E10" s="55"/>
      <c r="F10" s="55"/>
      <c r="G10" s="55"/>
      <c r="H10" s="159"/>
      <c r="I10" s="159"/>
      <c r="J10" s="157"/>
      <c r="K10" s="157"/>
      <c r="L10" s="157"/>
      <c r="M10" s="157"/>
      <c r="N10" s="157"/>
      <c r="O10" s="159"/>
      <c r="P10" s="159"/>
      <c r="Q10" s="55"/>
      <c r="R10" s="55"/>
      <c r="S10" s="55"/>
      <c r="T10" s="55"/>
      <c r="U10" s="55"/>
      <c r="V10" s="159"/>
      <c r="W10" s="159"/>
      <c r="X10" s="55"/>
      <c r="Y10" s="55"/>
      <c r="Z10" s="55"/>
      <c r="AA10" s="55"/>
      <c r="AB10" s="135"/>
      <c r="AC10" s="160"/>
      <c r="AD10" s="160"/>
      <c r="AE10" s="135"/>
      <c r="AF10" s="55"/>
      <c r="AG10" s="55"/>
      <c r="AH10" s="55"/>
      <c r="AI10" s="55"/>
      <c r="AJ10" s="159"/>
      <c r="AK10" s="159"/>
      <c r="AL10" s="55"/>
      <c r="AM10" s="55"/>
      <c r="AN10" s="55"/>
      <c r="AO10" s="55"/>
      <c r="AP10" s="55"/>
      <c r="AQ10" s="159"/>
      <c r="AR10" s="159"/>
      <c r="AS10" s="55"/>
      <c r="AT10" s="55"/>
      <c r="AU10" s="55"/>
      <c r="AV10" s="55"/>
      <c r="AW10" s="55"/>
      <c r="AX10" s="159"/>
      <c r="AY10" s="159"/>
      <c r="AZ10" s="55"/>
      <c r="BA10" s="55"/>
      <c r="BB10" s="55"/>
      <c r="BC10" s="55"/>
      <c r="BD10" s="55"/>
      <c r="BE10" s="159"/>
      <c r="BF10" s="159"/>
      <c r="BG10" s="55"/>
      <c r="BH10" s="55"/>
      <c r="BI10" s="55"/>
      <c r="BJ10" s="55"/>
      <c r="BK10" s="55"/>
      <c r="BL10" s="159"/>
      <c r="BM10" s="159"/>
      <c r="BN10" s="55"/>
      <c r="BO10" s="55"/>
      <c r="BP10" s="55"/>
      <c r="BQ10" s="55"/>
      <c r="BR10" s="55"/>
      <c r="BS10" s="159"/>
      <c r="BT10" s="159"/>
      <c r="BU10" s="55"/>
      <c r="BV10" s="55"/>
      <c r="BW10" s="55"/>
      <c r="BX10" s="55"/>
      <c r="BY10" s="55"/>
      <c r="BZ10" s="159"/>
      <c r="CA10" s="159"/>
      <c r="CB10" s="55"/>
      <c r="CC10" s="55"/>
      <c r="CD10" s="55"/>
      <c r="CE10" s="55"/>
      <c r="CF10" s="55"/>
      <c r="CG10" s="159"/>
      <c r="CH10" s="159"/>
      <c r="CI10" s="156"/>
      <c r="CJ10" s="156"/>
      <c r="CK10" s="156"/>
      <c r="CL10" s="156"/>
      <c r="CM10" s="156"/>
      <c r="CN10" s="155"/>
      <c r="CO10" s="155"/>
      <c r="CP10" s="156"/>
      <c r="CQ10" s="156"/>
      <c r="CR10" s="156"/>
      <c r="CS10" s="156"/>
      <c r="CT10" s="156"/>
      <c r="CU10" s="155"/>
      <c r="CV10" s="155"/>
      <c r="CW10" s="156"/>
      <c r="CX10" s="156"/>
      <c r="CY10" s="156"/>
      <c r="CZ10" s="156"/>
      <c r="DA10" s="156"/>
      <c r="DB10" s="155"/>
      <c r="DC10" s="155"/>
      <c r="DD10" s="156"/>
      <c r="DE10" s="156"/>
      <c r="DF10" s="156"/>
      <c r="DG10" s="156"/>
      <c r="DH10" s="156"/>
      <c r="DI10" s="155"/>
      <c r="DJ10" s="155"/>
      <c r="DK10" s="156"/>
      <c r="DL10" s="156"/>
      <c r="DM10" s="156"/>
      <c r="DN10" s="156"/>
      <c r="DO10" s="156"/>
      <c r="DP10" s="155"/>
      <c r="DQ10" s="155"/>
      <c r="DR10" s="156"/>
      <c r="DS10" s="156"/>
      <c r="DT10" s="156"/>
      <c r="DU10" s="156"/>
      <c r="DV10" s="156"/>
    </row>
    <row r="11">
      <c r="A11" s="161" t="s">
        <v>183</v>
      </c>
      <c r="B11" s="151" t="s">
        <v>184</v>
      </c>
      <c r="C11" s="153"/>
      <c r="D11" s="135"/>
      <c r="E11" s="135"/>
      <c r="F11" s="135"/>
      <c r="G11" s="135"/>
      <c r="H11" s="160"/>
      <c r="I11" s="160"/>
      <c r="J11" s="158"/>
      <c r="K11" s="158"/>
      <c r="L11" s="158"/>
      <c r="M11" s="158"/>
      <c r="N11" s="158"/>
      <c r="O11" s="160"/>
      <c r="P11" s="160"/>
      <c r="Q11" s="162"/>
      <c r="R11" s="162"/>
      <c r="S11" s="162"/>
      <c r="T11" s="162"/>
      <c r="U11" s="135"/>
      <c r="V11" s="160"/>
      <c r="W11" s="160"/>
      <c r="X11" s="135"/>
      <c r="Y11" s="135"/>
      <c r="Z11" s="135"/>
      <c r="AA11" s="135"/>
      <c r="AB11" s="135"/>
      <c r="AC11" s="160"/>
      <c r="AD11" s="160"/>
      <c r="AE11" s="135"/>
      <c r="AF11" s="135"/>
      <c r="AG11" s="135"/>
      <c r="AH11" s="135"/>
      <c r="AI11" s="135"/>
      <c r="AJ11" s="160"/>
      <c r="AK11" s="160"/>
      <c r="AL11" s="135"/>
      <c r="AM11" s="135"/>
      <c r="AN11" s="135"/>
      <c r="AO11" s="135"/>
      <c r="AP11" s="135"/>
      <c r="AQ11" s="160"/>
      <c r="AR11" s="160"/>
      <c r="AS11" s="55"/>
      <c r="AT11" s="55"/>
      <c r="AU11" s="55"/>
      <c r="AV11" s="55"/>
      <c r="AW11" s="55"/>
      <c r="AX11" s="159"/>
      <c r="AY11" s="159"/>
      <c r="AZ11" s="55"/>
      <c r="BA11" s="55"/>
      <c r="BB11" s="55"/>
      <c r="BC11" s="55"/>
      <c r="BD11" s="55"/>
      <c r="BE11" s="159"/>
      <c r="BF11" s="159"/>
      <c r="BG11" s="163"/>
      <c r="BH11" s="163"/>
      <c r="BI11" s="55"/>
      <c r="BJ11" s="55"/>
      <c r="BK11" s="55"/>
      <c r="BL11" s="159"/>
      <c r="BM11" s="159"/>
      <c r="BN11" s="55"/>
      <c r="BO11" s="55"/>
      <c r="BP11" s="55"/>
      <c r="BQ11" s="55"/>
      <c r="BR11" s="55"/>
      <c r="BS11" s="159"/>
      <c r="BT11" s="159"/>
      <c r="BU11" s="55"/>
      <c r="BV11" s="55"/>
      <c r="BW11" s="55"/>
      <c r="BX11" s="55"/>
      <c r="BY11" s="55"/>
      <c r="BZ11" s="159"/>
      <c r="CA11" s="159"/>
      <c r="CB11" s="55"/>
      <c r="CC11" s="55"/>
      <c r="CD11" s="55"/>
      <c r="CE11" s="55"/>
      <c r="CF11" s="55"/>
      <c r="CG11" s="159"/>
      <c r="CH11" s="159"/>
      <c r="CI11" s="156"/>
      <c r="CJ11" s="156"/>
      <c r="CK11" s="156"/>
      <c r="CL11" s="156"/>
      <c r="CM11" s="156"/>
      <c r="CN11" s="155"/>
      <c r="CO11" s="155"/>
      <c r="CP11" s="156"/>
      <c r="CQ11" s="156"/>
      <c r="CR11" s="156"/>
      <c r="CS11" s="156"/>
      <c r="CT11" s="156"/>
      <c r="CU11" s="155"/>
      <c r="CV11" s="155"/>
      <c r="CW11" s="156"/>
      <c r="CX11" s="156"/>
      <c r="CY11" s="156"/>
      <c r="CZ11" s="156"/>
      <c r="DA11" s="156"/>
      <c r="DB11" s="155"/>
      <c r="DC11" s="155"/>
      <c r="DD11" s="156"/>
      <c r="DE11" s="156"/>
      <c r="DF11" s="156"/>
      <c r="DG11" s="156"/>
      <c r="DH11" s="156"/>
      <c r="DI11" s="155"/>
      <c r="DJ11" s="155"/>
      <c r="DK11" s="156"/>
      <c r="DL11" s="156"/>
      <c r="DM11" s="156"/>
      <c r="DN11" s="156"/>
      <c r="DO11" s="156"/>
      <c r="DP11" s="155"/>
      <c r="DQ11" s="155"/>
      <c r="DR11" s="156"/>
      <c r="DS11" s="156"/>
      <c r="DT11" s="156"/>
      <c r="DU11" s="156"/>
      <c r="DV11" s="156"/>
    </row>
    <row r="12">
      <c r="A12" s="161" t="s">
        <v>185</v>
      </c>
      <c r="B12" s="151" t="s">
        <v>186</v>
      </c>
      <c r="C12" s="135"/>
      <c r="D12" s="135"/>
      <c r="E12" s="135"/>
      <c r="F12" s="135"/>
      <c r="G12" s="135"/>
      <c r="H12" s="160"/>
      <c r="I12" s="160"/>
      <c r="J12" s="157"/>
      <c r="K12" s="158"/>
      <c r="L12" s="158"/>
      <c r="M12" s="158"/>
      <c r="N12" s="158"/>
      <c r="O12" s="160"/>
      <c r="P12" s="160"/>
      <c r="Q12" s="158"/>
      <c r="R12" s="158"/>
      <c r="S12" s="158"/>
      <c r="T12" s="135"/>
      <c r="U12" s="162"/>
      <c r="V12" s="160"/>
      <c r="W12" s="160"/>
      <c r="X12" s="162"/>
      <c r="Y12" s="162"/>
      <c r="Z12" s="135"/>
      <c r="AA12" s="135"/>
      <c r="AB12" s="135"/>
      <c r="AC12" s="160"/>
      <c r="AD12" s="160"/>
      <c r="AE12" s="135"/>
      <c r="AF12" s="135"/>
      <c r="AG12" s="135"/>
      <c r="AH12" s="135"/>
      <c r="AI12" s="135"/>
      <c r="AJ12" s="160"/>
      <c r="AK12" s="160"/>
      <c r="AL12" s="135"/>
      <c r="AM12" s="135"/>
      <c r="AN12" s="135"/>
      <c r="AO12" s="135"/>
      <c r="AP12" s="135"/>
      <c r="AQ12" s="160"/>
      <c r="AR12" s="160"/>
      <c r="AS12" s="55"/>
      <c r="AT12" s="55"/>
      <c r="AU12" s="55"/>
      <c r="AV12" s="55"/>
      <c r="AW12" s="55"/>
      <c r="AX12" s="159"/>
      <c r="AY12" s="159"/>
      <c r="AZ12" s="55"/>
      <c r="BA12" s="55"/>
      <c r="BB12" s="55"/>
      <c r="BC12" s="55"/>
      <c r="BD12" s="55"/>
      <c r="BE12" s="159"/>
      <c r="BF12" s="159"/>
      <c r="BG12" s="163"/>
      <c r="BH12" s="163"/>
      <c r="BI12" s="55"/>
      <c r="BJ12" s="55"/>
      <c r="BK12" s="55"/>
      <c r="BL12" s="159"/>
      <c r="BM12" s="159"/>
      <c r="BN12" s="55"/>
      <c r="BO12" s="55"/>
      <c r="BP12" s="55"/>
      <c r="BQ12" s="55"/>
      <c r="BR12" s="55"/>
      <c r="BS12" s="159"/>
      <c r="BT12" s="159"/>
      <c r="BU12" s="55"/>
      <c r="BV12" s="55"/>
      <c r="BW12" s="55"/>
      <c r="BX12" s="55"/>
      <c r="BY12" s="55"/>
      <c r="BZ12" s="159"/>
      <c r="CA12" s="159"/>
      <c r="CB12" s="55"/>
      <c r="CC12" s="55"/>
      <c r="CD12" s="55"/>
      <c r="CE12" s="55"/>
      <c r="CF12" s="55"/>
      <c r="CG12" s="159"/>
      <c r="CH12" s="159"/>
      <c r="CI12" s="156"/>
      <c r="CJ12" s="156"/>
      <c r="CK12" s="156"/>
      <c r="CL12" s="156"/>
      <c r="CM12" s="156"/>
      <c r="CN12" s="155"/>
      <c r="CO12" s="155"/>
      <c r="CP12" s="156"/>
      <c r="CQ12" s="156"/>
      <c r="CR12" s="156"/>
      <c r="CS12" s="156"/>
      <c r="CT12" s="156"/>
      <c r="CU12" s="155"/>
      <c r="CV12" s="155"/>
      <c r="CW12" s="156"/>
      <c r="CX12" s="156"/>
      <c r="CY12" s="156"/>
      <c r="CZ12" s="156"/>
      <c r="DA12" s="156"/>
      <c r="DB12" s="155"/>
      <c r="DC12" s="155"/>
      <c r="DD12" s="156"/>
      <c r="DE12" s="156"/>
      <c r="DF12" s="156"/>
      <c r="DG12" s="156"/>
      <c r="DH12" s="156"/>
      <c r="DI12" s="155"/>
      <c r="DJ12" s="155"/>
      <c r="DK12" s="156"/>
      <c r="DL12" s="156"/>
      <c r="DM12" s="156"/>
      <c r="DN12" s="156"/>
      <c r="DO12" s="156"/>
      <c r="DP12" s="155"/>
      <c r="DQ12" s="155"/>
      <c r="DR12" s="156"/>
      <c r="DS12" s="156"/>
      <c r="DT12" s="156"/>
      <c r="DU12" s="156"/>
      <c r="DV12" s="156"/>
    </row>
    <row r="13">
      <c r="A13" s="161" t="s">
        <v>187</v>
      </c>
      <c r="B13" s="151" t="s">
        <v>188</v>
      </c>
      <c r="C13" s="135"/>
      <c r="D13" s="135"/>
      <c r="E13" s="135"/>
      <c r="F13" s="135"/>
      <c r="G13" s="135"/>
      <c r="H13" s="160"/>
      <c r="I13" s="160"/>
      <c r="J13" s="157"/>
      <c r="K13" s="158"/>
      <c r="L13" s="158"/>
      <c r="M13" s="158"/>
      <c r="N13" s="158"/>
      <c r="O13" s="160"/>
      <c r="P13" s="160"/>
      <c r="Q13" s="158"/>
      <c r="R13" s="158"/>
      <c r="S13" s="158"/>
      <c r="T13" s="135"/>
      <c r="U13" s="135"/>
      <c r="V13" s="160"/>
      <c r="W13" s="160"/>
      <c r="X13" s="135"/>
      <c r="Y13" s="135"/>
      <c r="Z13" s="162"/>
      <c r="AA13" s="162"/>
      <c r="AB13" s="162"/>
      <c r="AC13" s="160"/>
      <c r="AD13" s="160"/>
      <c r="AE13" s="135"/>
      <c r="AF13" s="135"/>
      <c r="AG13" s="135"/>
      <c r="AH13" s="135"/>
      <c r="AI13" s="135"/>
      <c r="AJ13" s="160"/>
      <c r="AK13" s="160"/>
      <c r="AL13" s="135"/>
      <c r="AM13" s="135"/>
      <c r="AN13" s="135"/>
      <c r="AO13" s="135"/>
      <c r="AP13" s="135"/>
      <c r="AQ13" s="160"/>
      <c r="AR13" s="160"/>
      <c r="AS13" s="55"/>
      <c r="AT13" s="55"/>
      <c r="AU13" s="55"/>
      <c r="AV13" s="55"/>
      <c r="AW13" s="55"/>
      <c r="AX13" s="159"/>
      <c r="AY13" s="159"/>
      <c r="AZ13" s="55"/>
      <c r="BA13" s="55"/>
      <c r="BB13" s="55"/>
      <c r="BC13" s="55"/>
      <c r="BD13" s="55"/>
      <c r="BE13" s="159"/>
      <c r="BF13" s="159"/>
      <c r="BG13" s="163"/>
      <c r="BH13" s="163"/>
      <c r="BI13" s="55"/>
      <c r="BJ13" s="55"/>
      <c r="BK13" s="55"/>
      <c r="BL13" s="159"/>
      <c r="BM13" s="159"/>
      <c r="BN13" s="55"/>
      <c r="BO13" s="55"/>
      <c r="BP13" s="55"/>
      <c r="BQ13" s="55"/>
      <c r="BR13" s="55"/>
      <c r="BS13" s="159"/>
      <c r="BT13" s="159"/>
      <c r="BU13" s="55"/>
      <c r="BV13" s="55"/>
      <c r="BW13" s="55"/>
      <c r="BX13" s="55"/>
      <c r="BY13" s="55"/>
      <c r="BZ13" s="159"/>
      <c r="CA13" s="159"/>
      <c r="CB13" s="55"/>
      <c r="CC13" s="55"/>
      <c r="CD13" s="55"/>
      <c r="CE13" s="55"/>
      <c r="CF13" s="55"/>
      <c r="CG13" s="159"/>
      <c r="CH13" s="159"/>
      <c r="CI13" s="156"/>
      <c r="CJ13" s="156"/>
      <c r="CK13" s="156"/>
      <c r="CL13" s="156"/>
      <c r="CM13" s="156"/>
      <c r="CN13" s="155"/>
      <c r="CO13" s="155"/>
      <c r="CP13" s="156"/>
      <c r="CQ13" s="156"/>
      <c r="CR13" s="156"/>
      <c r="CS13" s="156"/>
      <c r="CT13" s="156"/>
      <c r="CU13" s="155"/>
      <c r="CV13" s="155"/>
      <c r="CW13" s="156"/>
      <c r="CX13" s="156"/>
      <c r="CY13" s="156"/>
      <c r="CZ13" s="156"/>
      <c r="DA13" s="156"/>
      <c r="DB13" s="155"/>
      <c r="DC13" s="155"/>
      <c r="DD13" s="156"/>
      <c r="DE13" s="156"/>
      <c r="DF13" s="156"/>
      <c r="DG13" s="156"/>
      <c r="DH13" s="156"/>
      <c r="DI13" s="155"/>
      <c r="DJ13" s="155"/>
      <c r="DK13" s="156"/>
      <c r="DL13" s="156"/>
      <c r="DM13" s="156"/>
      <c r="DN13" s="156"/>
      <c r="DO13" s="156"/>
      <c r="DP13" s="155"/>
      <c r="DQ13" s="155"/>
      <c r="DR13" s="156"/>
      <c r="DS13" s="156"/>
      <c r="DT13" s="156"/>
      <c r="DU13" s="156"/>
      <c r="DV13" s="156"/>
    </row>
    <row r="14">
      <c r="A14" s="161" t="s">
        <v>189</v>
      </c>
      <c r="B14" s="151" t="s">
        <v>190</v>
      </c>
      <c r="C14" s="135"/>
      <c r="D14" s="135"/>
      <c r="E14" s="135"/>
      <c r="F14" s="135"/>
      <c r="G14" s="135"/>
      <c r="H14" s="160"/>
      <c r="I14" s="160"/>
      <c r="J14" s="157"/>
      <c r="K14" s="158"/>
      <c r="L14" s="158"/>
      <c r="M14" s="158"/>
      <c r="N14" s="158"/>
      <c r="O14" s="160"/>
      <c r="P14" s="160"/>
      <c r="Q14" s="158"/>
      <c r="R14" s="158"/>
      <c r="S14" s="158"/>
      <c r="T14" s="158"/>
      <c r="U14" s="158"/>
      <c r="V14" s="160"/>
      <c r="W14" s="160"/>
      <c r="X14" s="158"/>
      <c r="Y14" s="158"/>
      <c r="Z14" s="158"/>
      <c r="AA14" s="158"/>
      <c r="AB14" s="158"/>
      <c r="AC14" s="160"/>
      <c r="AD14" s="160"/>
      <c r="AE14" s="162"/>
      <c r="AF14" s="162"/>
      <c r="AG14" s="162"/>
      <c r="AH14" s="164" t="s">
        <v>191</v>
      </c>
      <c r="AI14" s="164" t="s">
        <v>191</v>
      </c>
      <c r="AJ14" s="160"/>
      <c r="AK14" s="160"/>
      <c r="AL14" s="135"/>
      <c r="AM14" s="135"/>
      <c r="AN14" s="135"/>
      <c r="AO14" s="135"/>
      <c r="AP14" s="135"/>
      <c r="AQ14" s="160"/>
      <c r="AR14" s="160"/>
      <c r="AS14" s="55"/>
      <c r="AT14" s="55"/>
      <c r="AU14" s="55"/>
      <c r="AV14" s="55"/>
      <c r="AW14" s="55"/>
      <c r="AX14" s="159"/>
      <c r="AY14" s="159"/>
      <c r="AZ14" s="55"/>
      <c r="BA14" s="55"/>
      <c r="BB14" s="55"/>
      <c r="BC14" s="55"/>
      <c r="BD14" s="55"/>
      <c r="BE14" s="159"/>
      <c r="BF14" s="159"/>
      <c r="BG14" s="163"/>
      <c r="BH14" s="163"/>
      <c r="BI14" s="55"/>
      <c r="BJ14" s="55"/>
      <c r="BK14" s="55"/>
      <c r="BL14" s="159"/>
      <c r="BM14" s="159"/>
      <c r="BN14" s="55"/>
      <c r="BO14" s="55"/>
      <c r="BP14" s="55"/>
      <c r="BQ14" s="55"/>
      <c r="BR14" s="55"/>
      <c r="BS14" s="159"/>
      <c r="BT14" s="159"/>
      <c r="BU14" s="55"/>
      <c r="BV14" s="55"/>
      <c r="BW14" s="55"/>
      <c r="BX14" s="55"/>
      <c r="BY14" s="55"/>
      <c r="BZ14" s="159"/>
      <c r="CA14" s="159"/>
      <c r="CB14" s="55"/>
      <c r="CC14" s="55"/>
      <c r="CD14" s="55"/>
      <c r="CE14" s="55"/>
      <c r="CF14" s="55"/>
      <c r="CG14" s="159"/>
      <c r="CH14" s="159"/>
      <c r="CI14" s="156"/>
      <c r="CJ14" s="156"/>
      <c r="CK14" s="156"/>
      <c r="CL14" s="156"/>
      <c r="CM14" s="156"/>
      <c r="CN14" s="155"/>
      <c r="CO14" s="155"/>
      <c r="CP14" s="156"/>
      <c r="CQ14" s="156"/>
      <c r="CR14" s="156"/>
      <c r="CS14" s="156"/>
      <c r="CT14" s="156"/>
      <c r="CU14" s="155"/>
      <c r="CV14" s="155"/>
      <c r="CW14" s="156"/>
      <c r="CX14" s="156"/>
      <c r="CY14" s="156"/>
      <c r="CZ14" s="156"/>
      <c r="DA14" s="156"/>
      <c r="DB14" s="155"/>
      <c r="DC14" s="155"/>
      <c r="DD14" s="156"/>
      <c r="DE14" s="156"/>
      <c r="DF14" s="156"/>
      <c r="DG14" s="156"/>
      <c r="DH14" s="156"/>
      <c r="DI14" s="155"/>
      <c r="DJ14" s="155"/>
      <c r="DK14" s="156"/>
      <c r="DL14" s="156"/>
      <c r="DM14" s="156"/>
      <c r="DN14" s="156"/>
      <c r="DO14" s="156"/>
      <c r="DP14" s="155"/>
      <c r="DQ14" s="155"/>
      <c r="DR14" s="156"/>
      <c r="DS14" s="156"/>
      <c r="DT14" s="156"/>
      <c r="DU14" s="156"/>
      <c r="DV14" s="156"/>
    </row>
    <row r="15">
      <c r="A15" s="161" t="s">
        <v>192</v>
      </c>
      <c r="B15" s="151" t="s">
        <v>193</v>
      </c>
      <c r="C15" s="135"/>
      <c r="D15" s="135"/>
      <c r="E15" s="135"/>
      <c r="F15" s="135"/>
      <c r="G15" s="135"/>
      <c r="H15" s="160"/>
      <c r="I15" s="160"/>
      <c r="J15" s="157"/>
      <c r="K15" s="158"/>
      <c r="L15" s="158"/>
      <c r="M15" s="158"/>
      <c r="N15" s="158"/>
      <c r="O15" s="160"/>
      <c r="P15" s="160"/>
      <c r="Q15" s="135"/>
      <c r="R15" s="135"/>
      <c r="S15" s="135"/>
      <c r="T15" s="135"/>
      <c r="U15" s="135"/>
      <c r="V15" s="160"/>
      <c r="W15" s="160"/>
      <c r="X15" s="158"/>
      <c r="Y15" s="158"/>
      <c r="Z15" s="158"/>
      <c r="AA15" s="158"/>
      <c r="AB15" s="158"/>
      <c r="AC15" s="160"/>
      <c r="AD15" s="160"/>
      <c r="AE15" s="135"/>
      <c r="AF15" s="135"/>
      <c r="AG15" s="135"/>
      <c r="AH15" s="135"/>
      <c r="AI15" s="135"/>
      <c r="AJ15" s="160"/>
      <c r="AK15" s="160"/>
      <c r="AL15" s="162"/>
      <c r="AM15" s="162"/>
      <c r="AN15" s="135"/>
      <c r="AO15" s="135"/>
      <c r="AP15" s="135"/>
      <c r="AQ15" s="160"/>
      <c r="AR15" s="160"/>
      <c r="AS15" s="55"/>
      <c r="AT15" s="55"/>
      <c r="AU15" s="55"/>
      <c r="AV15" s="55"/>
      <c r="AW15" s="55"/>
      <c r="AX15" s="159"/>
      <c r="AY15" s="159"/>
      <c r="AZ15" s="55"/>
      <c r="BA15" s="55"/>
      <c r="BB15" s="55"/>
      <c r="BC15" s="55"/>
      <c r="BD15" s="55"/>
      <c r="BE15" s="159"/>
      <c r="BF15" s="159"/>
      <c r="BG15" s="163"/>
      <c r="BH15" s="163"/>
      <c r="BI15" s="55"/>
      <c r="BJ15" s="55"/>
      <c r="BK15" s="55"/>
      <c r="BL15" s="159"/>
      <c r="BM15" s="159"/>
      <c r="BN15" s="55"/>
      <c r="BO15" s="55"/>
      <c r="BP15" s="55"/>
      <c r="BQ15" s="55"/>
      <c r="BR15" s="55"/>
      <c r="BS15" s="159"/>
      <c r="BT15" s="159"/>
      <c r="BU15" s="55"/>
      <c r="BV15" s="55"/>
      <c r="BW15" s="55"/>
      <c r="BX15" s="55"/>
      <c r="BY15" s="55"/>
      <c r="BZ15" s="159"/>
      <c r="CA15" s="159"/>
      <c r="CB15" s="55"/>
      <c r="CC15" s="55"/>
      <c r="CD15" s="55"/>
      <c r="CE15" s="55"/>
      <c r="CF15" s="55"/>
      <c r="CG15" s="159"/>
      <c r="CH15" s="159"/>
      <c r="CI15" s="156"/>
      <c r="CJ15" s="156"/>
      <c r="CK15" s="156"/>
      <c r="CL15" s="156"/>
      <c r="CM15" s="156"/>
      <c r="CN15" s="155"/>
      <c r="CO15" s="155"/>
      <c r="CP15" s="156"/>
      <c r="CQ15" s="156"/>
      <c r="CR15" s="156"/>
      <c r="CS15" s="156"/>
      <c r="CT15" s="156"/>
      <c r="CU15" s="155"/>
      <c r="CV15" s="155"/>
      <c r="CW15" s="156"/>
      <c r="CX15" s="156"/>
      <c r="CY15" s="156"/>
      <c r="CZ15" s="156"/>
      <c r="DA15" s="156"/>
      <c r="DB15" s="155"/>
      <c r="DC15" s="155"/>
      <c r="DD15" s="156"/>
      <c r="DE15" s="156"/>
      <c r="DF15" s="156"/>
      <c r="DG15" s="156"/>
      <c r="DH15" s="156"/>
      <c r="DI15" s="155"/>
      <c r="DJ15" s="155"/>
      <c r="DK15" s="156"/>
      <c r="DL15" s="156"/>
      <c r="DM15" s="156"/>
      <c r="DN15" s="156"/>
      <c r="DO15" s="156"/>
      <c r="DP15" s="155"/>
      <c r="DQ15" s="155"/>
      <c r="DR15" s="156"/>
      <c r="DS15" s="156"/>
      <c r="DT15" s="156"/>
      <c r="DU15" s="156"/>
      <c r="DV15" s="156"/>
    </row>
    <row r="16">
      <c r="A16" s="161" t="s">
        <v>194</v>
      </c>
      <c r="B16" s="165" t="s">
        <v>195</v>
      </c>
      <c r="C16" s="135"/>
      <c r="D16" s="135"/>
      <c r="E16" s="135"/>
      <c r="F16" s="135"/>
      <c r="G16" s="135"/>
      <c r="H16" s="160"/>
      <c r="I16" s="160"/>
      <c r="J16" s="157"/>
      <c r="K16" s="158"/>
      <c r="L16" s="158"/>
      <c r="M16" s="158"/>
      <c r="N16" s="158"/>
      <c r="O16" s="160"/>
      <c r="P16" s="160"/>
      <c r="Q16" s="135"/>
      <c r="R16" s="135"/>
      <c r="S16" s="135"/>
      <c r="T16" s="135"/>
      <c r="U16" s="135"/>
      <c r="V16" s="160"/>
      <c r="W16" s="160"/>
      <c r="X16" s="158"/>
      <c r="Y16" s="158"/>
      <c r="Z16" s="158"/>
      <c r="AA16" s="158"/>
      <c r="AB16" s="158"/>
      <c r="AC16" s="160"/>
      <c r="AD16" s="160"/>
      <c r="AE16" s="135"/>
      <c r="AF16" s="135"/>
      <c r="AG16" s="135"/>
      <c r="AH16" s="135"/>
      <c r="AI16" s="135"/>
      <c r="AJ16" s="160"/>
      <c r="AK16" s="160"/>
      <c r="AL16" s="158"/>
      <c r="AM16" s="158"/>
      <c r="AN16" s="162"/>
      <c r="AO16" s="135"/>
      <c r="AP16" s="135"/>
      <c r="AQ16" s="160"/>
      <c r="AR16" s="160"/>
      <c r="AS16" s="55"/>
      <c r="AT16" s="55"/>
      <c r="AU16" s="55"/>
      <c r="AV16" s="55"/>
      <c r="AW16" s="55"/>
      <c r="AX16" s="159"/>
      <c r="AY16" s="159"/>
      <c r="AZ16" s="55"/>
      <c r="BA16" s="55"/>
      <c r="BB16" s="55"/>
      <c r="BC16" s="55"/>
      <c r="BD16" s="55"/>
      <c r="BE16" s="159"/>
      <c r="BF16" s="159"/>
      <c r="BG16" s="163"/>
      <c r="BH16" s="163"/>
      <c r="BI16" s="55"/>
      <c r="BJ16" s="55"/>
      <c r="BK16" s="55"/>
      <c r="BL16" s="159"/>
      <c r="BM16" s="159"/>
      <c r="BN16" s="55"/>
      <c r="BO16" s="55"/>
      <c r="BP16" s="55"/>
      <c r="BQ16" s="55"/>
      <c r="BR16" s="55"/>
      <c r="BS16" s="159"/>
      <c r="BT16" s="159"/>
      <c r="BU16" s="55"/>
      <c r="BV16" s="55"/>
      <c r="BW16" s="55"/>
      <c r="BX16" s="55"/>
      <c r="BY16" s="55"/>
      <c r="BZ16" s="159"/>
      <c r="CA16" s="159"/>
      <c r="CB16" s="55"/>
      <c r="CC16" s="55"/>
      <c r="CD16" s="55"/>
      <c r="CE16" s="55"/>
      <c r="CF16" s="55"/>
      <c r="CG16" s="159"/>
      <c r="CH16" s="159"/>
      <c r="CI16" s="156"/>
      <c r="CJ16" s="156"/>
      <c r="CK16" s="156"/>
      <c r="CL16" s="156"/>
      <c r="CM16" s="156"/>
      <c r="CN16" s="155"/>
      <c r="CO16" s="155"/>
      <c r="CP16" s="156"/>
      <c r="CQ16" s="156"/>
      <c r="CR16" s="156"/>
      <c r="CS16" s="156"/>
      <c r="CT16" s="156"/>
      <c r="CU16" s="155"/>
      <c r="CV16" s="155"/>
      <c r="CW16" s="156"/>
      <c r="CX16" s="156"/>
      <c r="CY16" s="156"/>
      <c r="CZ16" s="156"/>
      <c r="DA16" s="156"/>
      <c r="DB16" s="155"/>
      <c r="DC16" s="155"/>
      <c r="DD16" s="156"/>
      <c r="DE16" s="156"/>
      <c r="DF16" s="156"/>
      <c r="DG16" s="156"/>
      <c r="DH16" s="156"/>
      <c r="DI16" s="155"/>
      <c r="DJ16" s="155"/>
      <c r="DK16" s="156"/>
      <c r="DL16" s="156"/>
      <c r="DM16" s="156"/>
      <c r="DN16" s="156"/>
      <c r="DO16" s="156"/>
      <c r="DP16" s="155"/>
      <c r="DQ16" s="155"/>
      <c r="DR16" s="156"/>
      <c r="DS16" s="156"/>
      <c r="DT16" s="156"/>
      <c r="DU16" s="156"/>
      <c r="DV16" s="156"/>
    </row>
    <row r="17">
      <c r="A17" s="161" t="s">
        <v>196</v>
      </c>
      <c r="B17" s="165" t="s">
        <v>197</v>
      </c>
      <c r="C17" s="135"/>
      <c r="D17" s="135"/>
      <c r="E17" s="135"/>
      <c r="F17" s="135"/>
      <c r="G17" s="135"/>
      <c r="H17" s="160"/>
      <c r="I17" s="160"/>
      <c r="J17" s="157"/>
      <c r="K17" s="135"/>
      <c r="L17" s="135"/>
      <c r="M17" s="135"/>
      <c r="N17" s="135"/>
      <c r="O17" s="160"/>
      <c r="P17" s="160"/>
      <c r="Q17" s="135"/>
      <c r="R17" s="135"/>
      <c r="S17" s="135"/>
      <c r="T17" s="135"/>
      <c r="U17" s="135"/>
      <c r="V17" s="160"/>
      <c r="W17" s="160"/>
      <c r="X17" s="158"/>
      <c r="Y17" s="158"/>
      <c r="Z17" s="158"/>
      <c r="AA17" s="158"/>
      <c r="AB17" s="158"/>
      <c r="AC17" s="160"/>
      <c r="AD17" s="160"/>
      <c r="AE17" s="135"/>
      <c r="AF17" s="135"/>
      <c r="AG17" s="135"/>
      <c r="AH17" s="135"/>
      <c r="AI17" s="135"/>
      <c r="AJ17" s="160"/>
      <c r="AK17" s="160"/>
      <c r="AL17" s="135"/>
      <c r="AM17" s="135"/>
      <c r="AN17" s="135"/>
      <c r="AO17" s="162"/>
      <c r="AP17" s="135"/>
      <c r="AQ17" s="160"/>
      <c r="AR17" s="160"/>
      <c r="AS17" s="55"/>
      <c r="AT17" s="55"/>
      <c r="AU17" s="55"/>
      <c r="AV17" s="55"/>
      <c r="AW17" s="55"/>
      <c r="AX17" s="159"/>
      <c r="AY17" s="159"/>
      <c r="AZ17" s="55"/>
      <c r="BA17" s="55"/>
      <c r="BB17" s="55"/>
      <c r="BC17" s="55"/>
      <c r="BD17" s="55"/>
      <c r="BE17" s="159"/>
      <c r="BF17" s="159"/>
      <c r="BG17" s="163"/>
      <c r="BH17" s="163"/>
      <c r="BI17" s="55"/>
      <c r="BJ17" s="55"/>
      <c r="BK17" s="55"/>
      <c r="BL17" s="159"/>
      <c r="BM17" s="159"/>
      <c r="BN17" s="55"/>
      <c r="BO17" s="55"/>
      <c r="BP17" s="55"/>
      <c r="BQ17" s="55"/>
      <c r="BR17" s="55"/>
      <c r="BS17" s="159"/>
      <c r="BT17" s="159"/>
      <c r="BU17" s="55"/>
      <c r="BV17" s="55"/>
      <c r="BW17" s="55"/>
      <c r="BX17" s="55"/>
      <c r="BY17" s="55"/>
      <c r="BZ17" s="159"/>
      <c r="CA17" s="159"/>
      <c r="CB17" s="55"/>
      <c r="CC17" s="55"/>
      <c r="CD17" s="55"/>
      <c r="CE17" s="55"/>
      <c r="CF17" s="55"/>
      <c r="CG17" s="159"/>
      <c r="CH17" s="159"/>
      <c r="CI17" s="156"/>
      <c r="CJ17" s="156"/>
      <c r="CK17" s="156"/>
      <c r="CL17" s="156"/>
      <c r="CM17" s="156"/>
      <c r="CN17" s="155"/>
      <c r="CO17" s="155"/>
      <c r="CP17" s="156"/>
      <c r="CQ17" s="156"/>
      <c r="CR17" s="156"/>
      <c r="CS17" s="156"/>
      <c r="CT17" s="156"/>
      <c r="CU17" s="155"/>
      <c r="CV17" s="155"/>
      <c r="CW17" s="156"/>
      <c r="CX17" s="156"/>
      <c r="CY17" s="156"/>
      <c r="CZ17" s="156"/>
      <c r="DA17" s="156"/>
      <c r="DB17" s="155"/>
      <c r="DC17" s="155"/>
      <c r="DD17" s="156"/>
      <c r="DE17" s="156"/>
      <c r="DF17" s="156"/>
      <c r="DG17" s="156"/>
      <c r="DH17" s="156"/>
      <c r="DI17" s="155"/>
      <c r="DJ17" s="155"/>
      <c r="DK17" s="156"/>
      <c r="DL17" s="156"/>
      <c r="DM17" s="156"/>
      <c r="DN17" s="156"/>
      <c r="DO17" s="156"/>
      <c r="DP17" s="155"/>
      <c r="DQ17" s="155"/>
      <c r="DR17" s="156"/>
      <c r="DS17" s="156"/>
      <c r="DT17" s="156"/>
      <c r="DU17" s="156"/>
      <c r="DV17" s="156"/>
    </row>
    <row r="18">
      <c r="A18" s="161" t="s">
        <v>198</v>
      </c>
      <c r="B18" s="151" t="s">
        <v>199</v>
      </c>
      <c r="C18" s="135"/>
      <c r="D18" s="135"/>
      <c r="E18" s="135"/>
      <c r="F18" s="135"/>
      <c r="G18" s="135"/>
      <c r="H18" s="160"/>
      <c r="I18" s="160"/>
      <c r="J18" s="157"/>
      <c r="K18" s="135"/>
      <c r="L18" s="135"/>
      <c r="M18" s="135"/>
      <c r="N18" s="135"/>
      <c r="O18" s="160"/>
      <c r="P18" s="160"/>
      <c r="Q18" s="135"/>
      <c r="R18" s="135"/>
      <c r="S18" s="135"/>
      <c r="T18" s="135"/>
      <c r="U18" s="135"/>
      <c r="V18" s="160"/>
      <c r="W18" s="160"/>
      <c r="X18" s="158"/>
      <c r="Y18" s="158"/>
      <c r="Z18" s="158"/>
      <c r="AA18" s="158"/>
      <c r="AB18" s="158"/>
      <c r="AC18" s="160"/>
      <c r="AD18" s="160"/>
      <c r="AE18" s="135"/>
      <c r="AF18" s="135"/>
      <c r="AG18" s="135"/>
      <c r="AH18" s="135"/>
      <c r="AI18" s="135"/>
      <c r="AJ18" s="160"/>
      <c r="AK18" s="160"/>
      <c r="AL18" s="135"/>
      <c r="AM18" s="135"/>
      <c r="AN18" s="135"/>
      <c r="AO18" s="135"/>
      <c r="AP18" s="162"/>
      <c r="AQ18" s="160"/>
      <c r="AR18" s="160"/>
      <c r="AS18" s="162"/>
      <c r="AT18" s="55"/>
      <c r="AU18" s="55"/>
      <c r="AV18" s="55"/>
      <c r="AW18" s="55"/>
      <c r="AX18" s="159"/>
      <c r="AY18" s="159"/>
      <c r="AZ18" s="55"/>
      <c r="BA18" s="55"/>
      <c r="BB18" s="55"/>
      <c r="BC18" s="55"/>
      <c r="BD18" s="55"/>
      <c r="BE18" s="159"/>
      <c r="BF18" s="159"/>
      <c r="BG18" s="163"/>
      <c r="BH18" s="163"/>
      <c r="BI18" s="55"/>
      <c r="BJ18" s="55"/>
      <c r="BK18" s="55"/>
      <c r="BL18" s="159"/>
      <c r="BM18" s="159"/>
      <c r="BN18" s="55"/>
      <c r="BO18" s="55"/>
      <c r="BP18" s="55"/>
      <c r="BQ18" s="55"/>
      <c r="BR18" s="55"/>
      <c r="BS18" s="159"/>
      <c r="BT18" s="159"/>
      <c r="BU18" s="55"/>
      <c r="BV18" s="55"/>
      <c r="BW18" s="55"/>
      <c r="BX18" s="55"/>
      <c r="BY18" s="55"/>
      <c r="BZ18" s="159"/>
      <c r="CA18" s="159"/>
      <c r="CB18" s="55"/>
      <c r="CC18" s="55"/>
      <c r="CD18" s="55"/>
      <c r="CE18" s="55"/>
      <c r="CF18" s="55"/>
      <c r="CG18" s="159"/>
      <c r="CH18" s="159"/>
      <c r="CI18" s="156"/>
      <c r="CJ18" s="156"/>
      <c r="CK18" s="156"/>
      <c r="CL18" s="156"/>
      <c r="CM18" s="156"/>
      <c r="CN18" s="155"/>
      <c r="CO18" s="155"/>
      <c r="CP18" s="156"/>
      <c r="CQ18" s="156"/>
      <c r="CR18" s="156"/>
      <c r="CS18" s="156"/>
      <c r="CT18" s="156"/>
      <c r="CU18" s="155"/>
      <c r="CV18" s="155"/>
      <c r="CW18" s="156"/>
      <c r="CX18" s="156"/>
      <c r="CY18" s="156"/>
      <c r="CZ18" s="156"/>
      <c r="DA18" s="156"/>
      <c r="DB18" s="155"/>
      <c r="DC18" s="155"/>
      <c r="DD18" s="156"/>
      <c r="DE18" s="156"/>
      <c r="DF18" s="156"/>
      <c r="DG18" s="156"/>
      <c r="DH18" s="156"/>
      <c r="DI18" s="155"/>
      <c r="DJ18" s="155"/>
      <c r="DK18" s="156"/>
      <c r="DL18" s="156"/>
      <c r="DM18" s="156"/>
      <c r="DN18" s="156"/>
      <c r="DO18" s="156"/>
      <c r="DP18" s="155"/>
      <c r="DQ18" s="155"/>
      <c r="DR18" s="156"/>
      <c r="DS18" s="156"/>
      <c r="DT18" s="156"/>
      <c r="DU18" s="156"/>
      <c r="DV18" s="156"/>
    </row>
    <row r="19">
      <c r="A19" s="161" t="s">
        <v>200</v>
      </c>
      <c r="B19" s="151" t="s">
        <v>201</v>
      </c>
      <c r="C19" s="135"/>
      <c r="D19" s="135"/>
      <c r="E19" s="135"/>
      <c r="F19" s="135"/>
      <c r="G19" s="135"/>
      <c r="H19" s="160"/>
      <c r="I19" s="160"/>
      <c r="J19" s="157"/>
      <c r="K19" s="135"/>
      <c r="L19" s="135"/>
      <c r="M19" s="135"/>
      <c r="N19" s="135"/>
      <c r="O19" s="160"/>
      <c r="P19" s="160"/>
      <c r="Q19" s="135"/>
      <c r="R19" s="135"/>
      <c r="S19" s="135"/>
      <c r="T19" s="135"/>
      <c r="U19" s="135"/>
      <c r="V19" s="160"/>
      <c r="W19" s="160"/>
      <c r="X19" s="158"/>
      <c r="Y19" s="158"/>
      <c r="Z19" s="158"/>
      <c r="AA19" s="158"/>
      <c r="AB19" s="158"/>
      <c r="AC19" s="160"/>
      <c r="AD19" s="160"/>
      <c r="AE19" s="135"/>
      <c r="AF19" s="135"/>
      <c r="AG19" s="135"/>
      <c r="AH19" s="135"/>
      <c r="AI19" s="135"/>
      <c r="AJ19" s="160"/>
      <c r="AK19" s="160"/>
      <c r="AL19" s="135"/>
      <c r="AM19" s="135"/>
      <c r="AN19" s="135"/>
      <c r="AO19" s="135"/>
      <c r="AP19" s="135"/>
      <c r="AQ19" s="160"/>
      <c r="AR19" s="160"/>
      <c r="AS19" s="55"/>
      <c r="AT19" s="162"/>
      <c r="AU19" s="162"/>
      <c r="AV19" s="55"/>
      <c r="AW19" s="55"/>
      <c r="AX19" s="159"/>
      <c r="AY19" s="159"/>
      <c r="AZ19" s="55"/>
      <c r="BA19" s="55"/>
      <c r="BB19" s="55"/>
      <c r="BC19" s="55"/>
      <c r="BD19" s="55"/>
      <c r="BE19" s="159"/>
      <c r="BF19" s="159"/>
      <c r="BG19" s="163"/>
      <c r="BH19" s="163"/>
      <c r="BI19" s="55"/>
      <c r="BJ19" s="55"/>
      <c r="BK19" s="55"/>
      <c r="BL19" s="159"/>
      <c r="BM19" s="159"/>
      <c r="BN19" s="55"/>
      <c r="BO19" s="55"/>
      <c r="BP19" s="55"/>
      <c r="BQ19" s="55"/>
      <c r="BR19" s="55"/>
      <c r="BS19" s="159"/>
      <c r="BT19" s="159"/>
      <c r="BU19" s="55"/>
      <c r="BV19" s="55"/>
      <c r="BW19" s="55"/>
      <c r="BX19" s="55"/>
      <c r="BY19" s="55"/>
      <c r="BZ19" s="159"/>
      <c r="CA19" s="159"/>
      <c r="CB19" s="55"/>
      <c r="CC19" s="55"/>
      <c r="CD19" s="55"/>
      <c r="CE19" s="55"/>
      <c r="CF19" s="55"/>
      <c r="CG19" s="159"/>
      <c r="CH19" s="159"/>
      <c r="CI19" s="156"/>
      <c r="CJ19" s="156"/>
      <c r="CK19" s="156"/>
      <c r="CL19" s="156"/>
      <c r="CM19" s="156"/>
      <c r="CN19" s="155"/>
      <c r="CO19" s="155"/>
      <c r="CP19" s="156"/>
      <c r="CQ19" s="156"/>
      <c r="CR19" s="156"/>
      <c r="CS19" s="156"/>
      <c r="CT19" s="156"/>
      <c r="CU19" s="155"/>
      <c r="CV19" s="155"/>
      <c r="CW19" s="156"/>
      <c r="CX19" s="156"/>
      <c r="CY19" s="156"/>
      <c r="CZ19" s="156"/>
      <c r="DA19" s="156"/>
      <c r="DB19" s="155"/>
      <c r="DC19" s="155"/>
      <c r="DD19" s="156"/>
      <c r="DE19" s="156"/>
      <c r="DF19" s="156"/>
      <c r="DG19" s="156"/>
      <c r="DH19" s="156"/>
      <c r="DI19" s="155"/>
      <c r="DJ19" s="155"/>
      <c r="DK19" s="156"/>
      <c r="DL19" s="156"/>
      <c r="DM19" s="156"/>
      <c r="DN19" s="156"/>
      <c r="DO19" s="156"/>
      <c r="DP19" s="155"/>
      <c r="DQ19" s="155"/>
      <c r="DR19" s="156"/>
      <c r="DS19" s="156"/>
      <c r="DT19" s="156"/>
      <c r="DU19" s="156"/>
      <c r="DV19" s="156"/>
    </row>
    <row r="20">
      <c r="A20" s="161" t="s">
        <v>202</v>
      </c>
      <c r="B20" s="151" t="s">
        <v>203</v>
      </c>
      <c r="C20" s="135"/>
      <c r="D20" s="135"/>
      <c r="E20" s="135"/>
      <c r="F20" s="135"/>
      <c r="G20" s="135"/>
      <c r="H20" s="160"/>
      <c r="I20" s="160"/>
      <c r="J20" s="157"/>
      <c r="K20" s="135"/>
      <c r="L20" s="135"/>
      <c r="M20" s="135"/>
      <c r="N20" s="135"/>
      <c r="O20" s="160"/>
      <c r="P20" s="160"/>
      <c r="Q20" s="135"/>
      <c r="R20" s="135"/>
      <c r="S20" s="135"/>
      <c r="T20" s="135"/>
      <c r="U20" s="135"/>
      <c r="V20" s="160"/>
      <c r="W20" s="160"/>
      <c r="X20" s="158"/>
      <c r="Y20" s="158"/>
      <c r="Z20" s="158"/>
      <c r="AA20" s="158"/>
      <c r="AB20" s="158"/>
      <c r="AC20" s="160"/>
      <c r="AD20" s="160"/>
      <c r="AE20" s="135"/>
      <c r="AF20" s="135"/>
      <c r="AG20" s="135"/>
      <c r="AH20" s="135"/>
      <c r="AI20" s="135"/>
      <c r="AJ20" s="160"/>
      <c r="AK20" s="160"/>
      <c r="AL20" s="135"/>
      <c r="AM20" s="153"/>
      <c r="AN20" s="153"/>
      <c r="AO20" s="153"/>
      <c r="AP20" s="135"/>
      <c r="AQ20" s="160"/>
      <c r="AR20" s="160"/>
      <c r="AS20" s="55"/>
      <c r="AT20" s="55"/>
      <c r="AU20" s="55"/>
      <c r="AV20" s="162"/>
      <c r="AW20" s="162"/>
      <c r="AX20" s="159"/>
      <c r="AY20" s="159"/>
      <c r="AZ20" s="55"/>
      <c r="BA20" s="55"/>
      <c r="BB20" s="55"/>
      <c r="BC20" s="55"/>
      <c r="BD20" s="55"/>
      <c r="BE20" s="159"/>
      <c r="BF20" s="159"/>
      <c r="BG20" s="163"/>
      <c r="BH20" s="163"/>
      <c r="BI20" s="55"/>
      <c r="BJ20" s="55"/>
      <c r="BK20" s="55"/>
      <c r="BL20" s="159"/>
      <c r="BM20" s="159"/>
      <c r="BN20" s="55"/>
      <c r="BO20" s="55"/>
      <c r="BP20" s="55"/>
      <c r="BQ20" s="55"/>
      <c r="BR20" s="55"/>
      <c r="BS20" s="159"/>
      <c r="BT20" s="159"/>
      <c r="BU20" s="55"/>
      <c r="BV20" s="55"/>
      <c r="BW20" s="55"/>
      <c r="BX20" s="55"/>
      <c r="BY20" s="55"/>
      <c r="BZ20" s="159"/>
      <c r="CA20" s="159"/>
      <c r="CB20" s="55"/>
      <c r="CC20" s="55"/>
      <c r="CD20" s="55"/>
      <c r="CE20" s="55"/>
      <c r="CF20" s="55"/>
      <c r="CG20" s="159"/>
      <c r="CH20" s="159"/>
      <c r="CI20" s="156"/>
      <c r="CJ20" s="156"/>
      <c r="CK20" s="156"/>
      <c r="CL20" s="156"/>
      <c r="CM20" s="156"/>
      <c r="CN20" s="155"/>
      <c r="CO20" s="155"/>
      <c r="CP20" s="156"/>
      <c r="CQ20" s="156"/>
      <c r="CR20" s="156"/>
      <c r="CS20" s="156"/>
      <c r="CT20" s="156"/>
      <c r="CU20" s="155"/>
      <c r="CV20" s="155"/>
      <c r="CW20" s="156"/>
      <c r="CX20" s="156"/>
      <c r="CY20" s="156"/>
      <c r="CZ20" s="156"/>
      <c r="DA20" s="156"/>
      <c r="DB20" s="155"/>
      <c r="DC20" s="155"/>
      <c r="DD20" s="156"/>
      <c r="DE20" s="156"/>
      <c r="DF20" s="156"/>
      <c r="DG20" s="156"/>
      <c r="DH20" s="156"/>
      <c r="DI20" s="155"/>
      <c r="DJ20" s="155"/>
      <c r="DK20" s="156"/>
      <c r="DL20" s="156"/>
      <c r="DM20" s="156"/>
      <c r="DN20" s="156"/>
      <c r="DO20" s="156"/>
      <c r="DP20" s="155"/>
      <c r="DQ20" s="155"/>
      <c r="DR20" s="156"/>
      <c r="DS20" s="156"/>
      <c r="DT20" s="156"/>
      <c r="DU20" s="156"/>
      <c r="DV20" s="156"/>
    </row>
    <row r="21">
      <c r="A21" s="161" t="s">
        <v>204</v>
      </c>
      <c r="B21" s="151" t="s">
        <v>205</v>
      </c>
      <c r="C21" s="135"/>
      <c r="D21" s="135"/>
      <c r="E21" s="135"/>
      <c r="F21" s="135"/>
      <c r="G21" s="135"/>
      <c r="H21" s="160"/>
      <c r="I21" s="160"/>
      <c r="J21" s="157"/>
      <c r="K21" s="135"/>
      <c r="L21" s="135"/>
      <c r="M21" s="135"/>
      <c r="N21" s="135"/>
      <c r="O21" s="160"/>
      <c r="P21" s="160"/>
      <c r="Q21" s="135"/>
      <c r="R21" s="135"/>
      <c r="S21" s="135"/>
      <c r="T21" s="135"/>
      <c r="U21" s="135"/>
      <c r="V21" s="160"/>
      <c r="W21" s="160"/>
      <c r="X21" s="158"/>
      <c r="Y21" s="158"/>
      <c r="Z21" s="158"/>
      <c r="AA21" s="158"/>
      <c r="AB21" s="158"/>
      <c r="AC21" s="160"/>
      <c r="AD21" s="160"/>
      <c r="AE21" s="135"/>
      <c r="AF21" s="135"/>
      <c r="AG21" s="135"/>
      <c r="AH21" s="135"/>
      <c r="AI21" s="135"/>
      <c r="AJ21" s="160"/>
      <c r="AK21" s="160"/>
      <c r="AL21" s="135"/>
      <c r="AM21" s="135"/>
      <c r="AN21" s="135"/>
      <c r="AO21" s="135"/>
      <c r="AP21" s="135"/>
      <c r="AQ21" s="160"/>
      <c r="AR21" s="160"/>
      <c r="AS21" s="55"/>
      <c r="AT21" s="55"/>
      <c r="AU21" s="55"/>
      <c r="AV21" s="55"/>
      <c r="AW21" s="55"/>
      <c r="AX21" s="159"/>
      <c r="AY21" s="159"/>
      <c r="AZ21" s="162"/>
      <c r="BA21" s="55"/>
      <c r="BB21" s="55"/>
      <c r="BC21" s="55"/>
      <c r="BD21" s="55"/>
      <c r="BE21" s="159"/>
      <c r="BF21" s="159"/>
      <c r="BG21" s="163"/>
      <c r="BH21" s="163"/>
      <c r="BI21" s="55"/>
      <c r="BJ21" s="55"/>
      <c r="BK21" s="55"/>
      <c r="BL21" s="159"/>
      <c r="BM21" s="159"/>
      <c r="BN21" s="55"/>
      <c r="BO21" s="55"/>
      <c r="BP21" s="55"/>
      <c r="BQ21" s="55"/>
      <c r="BR21" s="55"/>
      <c r="BS21" s="159"/>
      <c r="BT21" s="159"/>
      <c r="BU21" s="55"/>
      <c r="BV21" s="55"/>
      <c r="BW21" s="55"/>
      <c r="BX21" s="55"/>
      <c r="BY21" s="55"/>
      <c r="BZ21" s="159"/>
      <c r="CA21" s="159"/>
      <c r="CB21" s="55"/>
      <c r="CC21" s="55"/>
      <c r="CD21" s="55"/>
      <c r="CE21" s="55"/>
      <c r="CF21" s="55"/>
      <c r="CG21" s="159"/>
      <c r="CH21" s="159"/>
      <c r="CI21" s="156"/>
      <c r="CJ21" s="156"/>
      <c r="CK21" s="156"/>
      <c r="CL21" s="156"/>
      <c r="CM21" s="156"/>
      <c r="CN21" s="155"/>
      <c r="CO21" s="155"/>
      <c r="CP21" s="156"/>
      <c r="CQ21" s="156"/>
      <c r="CR21" s="156"/>
      <c r="CS21" s="156"/>
      <c r="CT21" s="156"/>
      <c r="CU21" s="155"/>
      <c r="CV21" s="155"/>
      <c r="CW21" s="156"/>
      <c r="CX21" s="156"/>
      <c r="CY21" s="156"/>
      <c r="CZ21" s="156"/>
      <c r="DA21" s="156"/>
      <c r="DB21" s="155"/>
      <c r="DC21" s="155"/>
      <c r="DD21" s="156"/>
      <c r="DE21" s="156"/>
      <c r="DF21" s="156"/>
      <c r="DG21" s="156"/>
      <c r="DH21" s="156"/>
      <c r="DI21" s="155"/>
      <c r="DJ21" s="155"/>
      <c r="DK21" s="156"/>
      <c r="DL21" s="156"/>
      <c r="DM21" s="156"/>
      <c r="DN21" s="156"/>
      <c r="DO21" s="156"/>
      <c r="DP21" s="155"/>
      <c r="DQ21" s="155"/>
      <c r="DR21" s="156"/>
      <c r="DS21" s="156"/>
      <c r="DT21" s="156"/>
      <c r="DU21" s="156"/>
      <c r="DV21" s="156"/>
    </row>
    <row r="22">
      <c r="A22" s="161" t="s">
        <v>206</v>
      </c>
      <c r="B22" s="151" t="s">
        <v>74</v>
      </c>
      <c r="C22" s="135"/>
      <c r="D22" s="135"/>
      <c r="E22" s="135"/>
      <c r="F22" s="135"/>
      <c r="G22" s="135"/>
      <c r="H22" s="160"/>
      <c r="I22" s="160"/>
      <c r="J22" s="157"/>
      <c r="K22" s="135"/>
      <c r="L22" s="135"/>
      <c r="M22" s="135"/>
      <c r="N22" s="135"/>
      <c r="O22" s="160"/>
      <c r="P22" s="160"/>
      <c r="Q22" s="135"/>
      <c r="R22" s="135"/>
      <c r="S22" s="135"/>
      <c r="T22" s="135"/>
      <c r="U22" s="135"/>
      <c r="V22" s="160"/>
      <c r="W22" s="160"/>
      <c r="X22" s="158"/>
      <c r="Y22" s="158"/>
      <c r="Z22" s="158"/>
      <c r="AA22" s="158"/>
      <c r="AB22" s="158"/>
      <c r="AC22" s="160"/>
      <c r="AD22" s="160"/>
      <c r="AE22" s="135"/>
      <c r="AF22" s="135"/>
      <c r="AG22" s="135"/>
      <c r="AH22" s="135"/>
      <c r="AI22" s="135"/>
      <c r="AJ22" s="160"/>
      <c r="AK22" s="160"/>
      <c r="AL22" s="135"/>
      <c r="AM22" s="135"/>
      <c r="AN22" s="135"/>
      <c r="AO22" s="135"/>
      <c r="AP22" s="135"/>
      <c r="AQ22" s="160"/>
      <c r="AR22" s="160"/>
      <c r="AS22" s="55"/>
      <c r="AT22" s="55"/>
      <c r="AU22" s="55"/>
      <c r="AV22" s="55"/>
      <c r="AW22" s="55"/>
      <c r="AX22" s="159"/>
      <c r="AY22" s="159"/>
      <c r="AZ22" s="55"/>
      <c r="BA22" s="162"/>
      <c r="BB22" s="162"/>
      <c r="BC22" s="55"/>
      <c r="BD22" s="55"/>
      <c r="BE22" s="159"/>
      <c r="BF22" s="159"/>
      <c r="BG22" s="163"/>
      <c r="BH22" s="163"/>
      <c r="BI22" s="55"/>
      <c r="BJ22" s="55"/>
      <c r="BK22" s="55"/>
      <c r="BL22" s="159"/>
      <c r="BM22" s="159"/>
      <c r="BN22" s="55"/>
      <c r="BO22" s="55"/>
      <c r="BP22" s="55"/>
      <c r="BQ22" s="55"/>
      <c r="BR22" s="55"/>
      <c r="BS22" s="159"/>
      <c r="BT22" s="159"/>
      <c r="BU22" s="55"/>
      <c r="BV22" s="55"/>
      <c r="BW22" s="55"/>
      <c r="BX22" s="55"/>
      <c r="BY22" s="55"/>
      <c r="BZ22" s="159"/>
      <c r="CA22" s="159"/>
      <c r="CB22" s="55"/>
      <c r="CC22" s="55"/>
      <c r="CD22" s="55"/>
      <c r="CE22" s="55"/>
      <c r="CF22" s="55"/>
      <c r="CG22" s="159"/>
      <c r="CH22" s="159"/>
      <c r="CI22" s="156"/>
      <c r="CJ22" s="156"/>
      <c r="CK22" s="156"/>
      <c r="CL22" s="156"/>
      <c r="CM22" s="156"/>
      <c r="CN22" s="155"/>
      <c r="CO22" s="155"/>
      <c r="CP22" s="156"/>
      <c r="CQ22" s="156"/>
      <c r="CR22" s="156"/>
      <c r="CS22" s="156"/>
      <c r="CT22" s="156"/>
      <c r="CU22" s="155"/>
      <c r="CV22" s="155"/>
      <c r="CW22" s="156"/>
      <c r="CX22" s="156"/>
      <c r="CY22" s="156"/>
      <c r="CZ22" s="156"/>
      <c r="DA22" s="156"/>
      <c r="DB22" s="155"/>
      <c r="DC22" s="155"/>
      <c r="DD22" s="156"/>
      <c r="DE22" s="156"/>
      <c r="DF22" s="156"/>
      <c r="DG22" s="156"/>
      <c r="DH22" s="156"/>
      <c r="DI22" s="155"/>
      <c r="DJ22" s="155"/>
      <c r="DK22" s="156"/>
      <c r="DL22" s="156"/>
      <c r="DM22" s="156"/>
      <c r="DN22" s="156"/>
      <c r="DO22" s="156"/>
      <c r="DP22" s="155"/>
      <c r="DQ22" s="155"/>
      <c r="DR22" s="156"/>
      <c r="DS22" s="156"/>
      <c r="DT22" s="156"/>
      <c r="DU22" s="156"/>
      <c r="DV22" s="156"/>
    </row>
    <row r="23" ht="15.75" customHeight="1">
      <c r="A23" s="146"/>
      <c r="B23" s="147" t="s">
        <v>207</v>
      </c>
      <c r="C23" s="135"/>
      <c r="D23" s="135"/>
      <c r="E23" s="135"/>
      <c r="F23" s="135"/>
      <c r="G23" s="135"/>
      <c r="H23" s="160"/>
      <c r="I23" s="160"/>
      <c r="J23" s="135"/>
      <c r="K23" s="135"/>
      <c r="L23" s="135"/>
      <c r="M23" s="135"/>
      <c r="N23" s="135"/>
      <c r="O23" s="160"/>
      <c r="P23" s="160"/>
      <c r="Q23" s="135"/>
      <c r="R23" s="135"/>
      <c r="S23" s="135"/>
      <c r="T23" s="135"/>
      <c r="U23" s="135"/>
      <c r="V23" s="160"/>
      <c r="W23" s="160"/>
      <c r="X23" s="135"/>
      <c r="Y23" s="135"/>
      <c r="Z23" s="135"/>
      <c r="AA23" s="135"/>
      <c r="AB23" s="135"/>
      <c r="AC23" s="160"/>
      <c r="AD23" s="160"/>
      <c r="AE23" s="166"/>
      <c r="AF23" s="166"/>
      <c r="AG23" s="166"/>
      <c r="AH23" s="166"/>
      <c r="AI23" s="135"/>
      <c r="AJ23" s="160"/>
      <c r="AK23" s="160"/>
      <c r="AL23" s="135"/>
      <c r="AM23" s="135"/>
      <c r="AN23" s="135"/>
      <c r="AO23" s="135"/>
      <c r="AP23" s="135"/>
      <c r="AQ23" s="160"/>
      <c r="AR23" s="160"/>
      <c r="AS23" s="55"/>
      <c r="AT23" s="55"/>
      <c r="AU23" s="55"/>
      <c r="AV23" s="55"/>
      <c r="AW23" s="55"/>
      <c r="AX23" s="159"/>
      <c r="AY23" s="159"/>
      <c r="AZ23" s="55"/>
      <c r="BA23" s="55"/>
      <c r="BB23" s="153"/>
      <c r="BC23" s="55"/>
      <c r="BD23" s="55"/>
      <c r="BE23" s="159"/>
      <c r="BF23" s="159"/>
      <c r="BG23" s="55"/>
      <c r="BH23" s="55"/>
      <c r="BI23" s="55"/>
      <c r="BJ23" s="163"/>
      <c r="BK23" s="55"/>
      <c r="BL23" s="159"/>
      <c r="BM23" s="159"/>
      <c r="BN23" s="55"/>
      <c r="BO23" s="55"/>
      <c r="BP23" s="55"/>
      <c r="BQ23" s="55"/>
      <c r="BR23" s="55"/>
      <c r="BS23" s="159"/>
      <c r="BT23" s="159"/>
      <c r="BU23" s="55"/>
      <c r="BV23" s="55"/>
      <c r="BW23" s="55"/>
      <c r="BX23" s="55"/>
      <c r="BY23" s="55"/>
      <c r="BZ23" s="159"/>
      <c r="CA23" s="159"/>
      <c r="CB23" s="55"/>
      <c r="CC23" s="55"/>
      <c r="CD23" s="55"/>
      <c r="CE23" s="55"/>
      <c r="CF23" s="55"/>
      <c r="CG23" s="159"/>
      <c r="CH23" s="159"/>
      <c r="CI23" s="156"/>
      <c r="CJ23" s="156"/>
      <c r="CK23" s="156"/>
      <c r="CL23" s="156"/>
      <c r="CM23" s="156"/>
      <c r="CN23" s="155"/>
      <c r="CO23" s="155"/>
      <c r="CP23" s="156"/>
      <c r="CQ23" s="156"/>
      <c r="CR23" s="156"/>
      <c r="CS23" s="156"/>
      <c r="CT23" s="156"/>
      <c r="CU23" s="155"/>
      <c r="CV23" s="155"/>
      <c r="CW23" s="156"/>
      <c r="CX23" s="156"/>
      <c r="CY23" s="156"/>
      <c r="CZ23" s="156"/>
      <c r="DA23" s="156"/>
      <c r="DB23" s="155"/>
      <c r="DC23" s="155"/>
      <c r="DD23" s="156"/>
      <c r="DE23" s="156"/>
      <c r="DF23" s="156"/>
      <c r="DG23" s="156"/>
      <c r="DH23" s="156"/>
      <c r="DI23" s="155"/>
      <c r="DJ23" s="155"/>
      <c r="DK23" s="156"/>
      <c r="DL23" s="156"/>
      <c r="DM23" s="156"/>
      <c r="DN23" s="156"/>
      <c r="DO23" s="156"/>
      <c r="DP23" s="155"/>
      <c r="DQ23" s="155"/>
      <c r="DR23" s="156"/>
      <c r="DS23" s="156"/>
      <c r="DT23" s="156"/>
      <c r="DU23" s="156"/>
      <c r="DV23" s="156"/>
    </row>
    <row r="24" ht="15.75" customHeight="1">
      <c r="A24" s="146"/>
      <c r="B24" s="167" t="s">
        <v>76</v>
      </c>
      <c r="C24" s="135"/>
      <c r="D24" s="135"/>
      <c r="E24" s="135"/>
      <c r="F24" s="135"/>
      <c r="G24" s="135"/>
      <c r="H24" s="160"/>
      <c r="I24" s="160"/>
      <c r="J24" s="135"/>
      <c r="K24" s="135"/>
      <c r="L24" s="135"/>
      <c r="M24" s="135"/>
      <c r="N24" s="135"/>
      <c r="O24" s="160"/>
      <c r="P24" s="160"/>
      <c r="Q24" s="135"/>
      <c r="R24" s="135"/>
      <c r="S24" s="135"/>
      <c r="T24" s="135"/>
      <c r="U24" s="135"/>
      <c r="V24" s="160"/>
      <c r="W24" s="160"/>
      <c r="X24" s="135"/>
      <c r="Y24" s="135"/>
      <c r="Z24" s="135"/>
      <c r="AA24" s="135"/>
      <c r="AB24" s="135"/>
      <c r="AC24" s="160"/>
      <c r="AD24" s="160"/>
      <c r="AE24" s="168"/>
      <c r="AF24" s="168"/>
      <c r="AG24" s="168"/>
      <c r="AH24" s="166"/>
      <c r="AI24" s="135"/>
      <c r="AJ24" s="160"/>
      <c r="AK24" s="160"/>
      <c r="AL24" s="135"/>
      <c r="AM24" s="135"/>
      <c r="AN24" s="135"/>
      <c r="AO24" s="135"/>
      <c r="AP24" s="135"/>
      <c r="AQ24" s="160"/>
      <c r="AR24" s="160"/>
      <c r="AS24" s="55"/>
      <c r="AT24" s="55"/>
      <c r="AU24" s="55"/>
      <c r="AV24" s="55"/>
      <c r="AW24" s="55"/>
      <c r="AX24" s="159"/>
      <c r="AY24" s="159"/>
      <c r="AZ24" s="55"/>
      <c r="BA24" s="55"/>
      <c r="BB24" s="153"/>
      <c r="BC24" s="55"/>
      <c r="BD24" s="55"/>
      <c r="BE24" s="159"/>
      <c r="BF24" s="159"/>
      <c r="BG24" s="55"/>
      <c r="BH24" s="55"/>
      <c r="BI24" s="55"/>
      <c r="BJ24" s="55"/>
      <c r="BK24" s="55"/>
      <c r="BL24" s="159"/>
      <c r="BM24" s="159"/>
      <c r="BN24" s="169"/>
      <c r="BO24" s="169"/>
      <c r="BP24" s="55"/>
      <c r="BQ24" s="55"/>
      <c r="BR24" s="55"/>
      <c r="BS24" s="159"/>
      <c r="BT24" s="159"/>
      <c r="BU24" s="55"/>
      <c r="BV24" s="55"/>
      <c r="BW24" s="55"/>
      <c r="BX24" s="55"/>
      <c r="BY24" s="55"/>
      <c r="BZ24" s="159"/>
      <c r="CA24" s="159"/>
      <c r="CB24" s="55"/>
      <c r="CC24" s="55"/>
      <c r="CD24" s="55"/>
      <c r="CE24" s="55"/>
      <c r="CF24" s="55"/>
      <c r="CG24" s="159"/>
      <c r="CH24" s="159"/>
      <c r="CI24" s="156"/>
      <c r="CJ24" s="156"/>
      <c r="CK24" s="156"/>
      <c r="CL24" s="156"/>
      <c r="CM24" s="156"/>
      <c r="CN24" s="155"/>
      <c r="CO24" s="155"/>
      <c r="CP24" s="156"/>
      <c r="CQ24" s="156"/>
      <c r="CR24" s="156"/>
      <c r="CS24" s="156"/>
      <c r="CT24" s="156"/>
      <c r="CU24" s="155"/>
      <c r="CV24" s="155"/>
      <c r="CW24" s="156"/>
      <c r="CX24" s="156"/>
      <c r="CY24" s="156"/>
      <c r="CZ24" s="156"/>
      <c r="DA24" s="156"/>
      <c r="DB24" s="155"/>
      <c r="DC24" s="155"/>
      <c r="DD24" s="156"/>
      <c r="DE24" s="156"/>
      <c r="DF24" s="156"/>
      <c r="DG24" s="156"/>
      <c r="DH24" s="156"/>
      <c r="DI24" s="155"/>
      <c r="DJ24" s="155"/>
      <c r="DK24" s="156"/>
      <c r="DL24" s="156"/>
      <c r="DM24" s="156"/>
      <c r="DN24" s="156"/>
      <c r="DO24" s="156"/>
      <c r="DP24" s="155"/>
      <c r="DQ24" s="155"/>
      <c r="DR24" s="156"/>
      <c r="DS24" s="156"/>
      <c r="DT24" s="156"/>
      <c r="DU24" s="156"/>
      <c r="DV24" s="156"/>
    </row>
    <row r="25" ht="15.75" customHeight="1">
      <c r="A25" s="146"/>
      <c r="B25" s="165" t="s">
        <v>208</v>
      </c>
      <c r="C25" s="135"/>
      <c r="D25" s="135"/>
      <c r="E25" s="135"/>
      <c r="F25" s="135"/>
      <c r="G25" s="135"/>
      <c r="H25" s="160"/>
      <c r="I25" s="160"/>
      <c r="J25" s="135"/>
      <c r="K25" s="135"/>
      <c r="L25" s="135"/>
      <c r="M25" s="135"/>
      <c r="N25" s="135"/>
      <c r="O25" s="160"/>
      <c r="P25" s="160"/>
      <c r="Q25" s="135"/>
      <c r="R25" s="135"/>
      <c r="S25" s="135"/>
      <c r="T25" s="135"/>
      <c r="U25" s="135"/>
      <c r="V25" s="160"/>
      <c r="W25" s="160"/>
      <c r="X25" s="135"/>
      <c r="Y25" s="135"/>
      <c r="Z25" s="135"/>
      <c r="AA25" s="135"/>
      <c r="AB25" s="135"/>
      <c r="AC25" s="160"/>
      <c r="AD25" s="160"/>
      <c r="AE25" s="168"/>
      <c r="AF25" s="168"/>
      <c r="AG25" s="168"/>
      <c r="AH25" s="166"/>
      <c r="AI25" s="135"/>
      <c r="AJ25" s="160"/>
      <c r="AK25" s="160"/>
      <c r="AL25" s="135"/>
      <c r="AM25" s="135"/>
      <c r="AN25" s="135"/>
      <c r="AO25" s="135"/>
      <c r="AP25" s="135"/>
      <c r="AQ25" s="160"/>
      <c r="AR25" s="160"/>
      <c r="AS25" s="55"/>
      <c r="AT25" s="55"/>
      <c r="AU25" s="55"/>
      <c r="AV25" s="55"/>
      <c r="AW25" s="55"/>
      <c r="AX25" s="159"/>
      <c r="AY25" s="159"/>
      <c r="AZ25" s="55"/>
      <c r="BA25" s="55"/>
      <c r="BB25" s="55"/>
      <c r="BC25" s="170"/>
      <c r="BD25" s="153"/>
      <c r="BE25" s="159"/>
      <c r="BF25" s="159"/>
      <c r="BG25" s="153"/>
      <c r="BH25" s="153"/>
      <c r="BI25" s="153"/>
      <c r="BJ25" s="153"/>
      <c r="BK25" s="153"/>
      <c r="BL25" s="159"/>
      <c r="BM25" s="159"/>
      <c r="BN25" s="171"/>
      <c r="BO25" s="171"/>
      <c r="BP25" s="55"/>
      <c r="BQ25" s="55"/>
      <c r="BR25" s="55"/>
      <c r="BS25" s="159"/>
      <c r="BT25" s="159"/>
      <c r="BU25" s="55"/>
      <c r="BV25" s="55"/>
      <c r="BW25" s="55"/>
      <c r="BX25" s="55"/>
      <c r="BY25" s="55"/>
      <c r="BZ25" s="159"/>
      <c r="CA25" s="159"/>
      <c r="CB25" s="55"/>
      <c r="CC25" s="55"/>
      <c r="CD25" s="55"/>
      <c r="CE25" s="55"/>
      <c r="CF25" s="55"/>
      <c r="CG25" s="159"/>
      <c r="CH25" s="159"/>
      <c r="CI25" s="156"/>
      <c r="CJ25" s="156"/>
      <c r="CK25" s="156"/>
      <c r="CL25" s="156"/>
      <c r="CM25" s="156"/>
      <c r="CN25" s="155"/>
      <c r="CO25" s="155"/>
      <c r="CP25" s="156"/>
      <c r="CQ25" s="156"/>
      <c r="CR25" s="156"/>
      <c r="CS25" s="156"/>
      <c r="CT25" s="156"/>
      <c r="CU25" s="155"/>
      <c r="CV25" s="155"/>
      <c r="CW25" s="156"/>
      <c r="CX25" s="156"/>
      <c r="CY25" s="156"/>
      <c r="CZ25" s="156"/>
      <c r="DA25" s="156"/>
      <c r="DB25" s="155"/>
      <c r="DC25" s="155"/>
      <c r="DD25" s="156"/>
      <c r="DE25" s="156"/>
      <c r="DF25" s="156"/>
      <c r="DG25" s="156"/>
      <c r="DH25" s="156"/>
      <c r="DI25" s="155"/>
      <c r="DJ25" s="155"/>
      <c r="DK25" s="156"/>
      <c r="DL25" s="156"/>
      <c r="DM25" s="156"/>
      <c r="DN25" s="156"/>
      <c r="DO25" s="156"/>
      <c r="DP25" s="155"/>
      <c r="DQ25" s="155"/>
      <c r="DR25" s="156"/>
      <c r="DS25" s="156"/>
      <c r="DT25" s="156"/>
      <c r="DU25" s="156"/>
      <c r="DV25" s="156"/>
    </row>
    <row r="26" ht="15.75" customHeight="1">
      <c r="A26" s="146"/>
      <c r="B26" s="165" t="s">
        <v>83</v>
      </c>
      <c r="C26" s="135"/>
      <c r="D26" s="135"/>
      <c r="E26" s="135"/>
      <c r="F26" s="135"/>
      <c r="G26" s="135"/>
      <c r="H26" s="160"/>
      <c r="I26" s="160"/>
      <c r="J26" s="135"/>
      <c r="K26" s="135"/>
      <c r="L26" s="135"/>
      <c r="M26" s="135"/>
      <c r="N26" s="135"/>
      <c r="O26" s="160"/>
      <c r="P26" s="160"/>
      <c r="Q26" s="135"/>
      <c r="R26" s="135"/>
      <c r="S26" s="135"/>
      <c r="T26" s="135"/>
      <c r="U26" s="135"/>
      <c r="V26" s="160"/>
      <c r="W26" s="160"/>
      <c r="X26" s="135"/>
      <c r="Y26" s="135"/>
      <c r="Z26" s="135"/>
      <c r="AA26" s="135"/>
      <c r="AB26" s="135"/>
      <c r="AC26" s="160"/>
      <c r="AD26" s="160"/>
      <c r="AE26" s="168"/>
      <c r="AF26" s="168"/>
      <c r="AG26" s="168"/>
      <c r="AH26" s="166"/>
      <c r="AI26" s="135"/>
      <c r="AJ26" s="160"/>
      <c r="AK26" s="160"/>
      <c r="AL26" s="135"/>
      <c r="AM26" s="135"/>
      <c r="AN26" s="135"/>
      <c r="AO26" s="135"/>
      <c r="AP26" s="135"/>
      <c r="AQ26" s="160"/>
      <c r="AR26" s="160"/>
      <c r="AS26" s="55"/>
      <c r="AT26" s="55"/>
      <c r="AU26" s="55"/>
      <c r="AV26" s="55"/>
      <c r="AW26" s="55"/>
      <c r="AX26" s="159"/>
      <c r="AY26" s="159"/>
      <c r="AZ26" s="55"/>
      <c r="BA26" s="55"/>
      <c r="BB26" s="55"/>
      <c r="BC26" s="153"/>
      <c r="BD26" s="170"/>
      <c r="BE26" s="159"/>
      <c r="BF26" s="159"/>
      <c r="BG26" s="170"/>
      <c r="BH26" s="153"/>
      <c r="BI26" s="153"/>
      <c r="BJ26" s="153"/>
      <c r="BK26" s="153"/>
      <c r="BL26" s="159"/>
      <c r="BM26" s="159"/>
      <c r="BN26" s="168"/>
      <c r="BO26" s="168"/>
      <c r="BP26" s="55"/>
      <c r="BQ26" s="55"/>
      <c r="BR26" s="55"/>
      <c r="BS26" s="159"/>
      <c r="BT26" s="159"/>
      <c r="BU26" s="55"/>
      <c r="BV26" s="55"/>
      <c r="BW26" s="55"/>
      <c r="BX26" s="55"/>
      <c r="BY26" s="55"/>
      <c r="BZ26" s="159"/>
      <c r="CA26" s="159"/>
      <c r="CB26" s="55"/>
      <c r="CC26" s="55"/>
      <c r="CD26" s="55"/>
      <c r="CE26" s="55"/>
      <c r="CF26" s="55"/>
      <c r="CG26" s="159"/>
      <c r="CH26" s="159"/>
      <c r="CI26" s="156"/>
      <c r="CJ26" s="156"/>
      <c r="CK26" s="156"/>
      <c r="CL26" s="156"/>
      <c r="CM26" s="156"/>
      <c r="CN26" s="155"/>
      <c r="CO26" s="155"/>
      <c r="CP26" s="156"/>
      <c r="CQ26" s="156"/>
      <c r="CR26" s="156"/>
      <c r="CS26" s="156"/>
      <c r="CT26" s="156"/>
      <c r="CU26" s="155"/>
      <c r="CV26" s="155"/>
      <c r="CW26" s="156"/>
      <c r="CX26" s="156"/>
      <c r="CY26" s="156"/>
      <c r="CZ26" s="156"/>
      <c r="DA26" s="156"/>
      <c r="DB26" s="155"/>
      <c r="DC26" s="155"/>
      <c r="DD26" s="156"/>
      <c r="DE26" s="156"/>
      <c r="DF26" s="156"/>
      <c r="DG26" s="156"/>
      <c r="DH26" s="156"/>
      <c r="DI26" s="155"/>
      <c r="DJ26" s="155"/>
      <c r="DK26" s="156"/>
      <c r="DL26" s="156"/>
      <c r="DM26" s="156"/>
      <c r="DN26" s="156"/>
      <c r="DO26" s="156"/>
      <c r="DP26" s="155"/>
      <c r="DQ26" s="155"/>
      <c r="DR26" s="156"/>
      <c r="DS26" s="156"/>
      <c r="DT26" s="156"/>
      <c r="DU26" s="156"/>
      <c r="DV26" s="156"/>
    </row>
    <row r="27" ht="15.75" customHeight="1">
      <c r="A27" s="146"/>
      <c r="B27" s="165" t="s">
        <v>209</v>
      </c>
      <c r="C27" s="135"/>
      <c r="D27" s="135"/>
      <c r="E27" s="135"/>
      <c r="F27" s="135"/>
      <c r="G27" s="135"/>
      <c r="H27" s="160"/>
      <c r="I27" s="160"/>
      <c r="J27" s="135"/>
      <c r="K27" s="135"/>
      <c r="L27" s="135"/>
      <c r="M27" s="135"/>
      <c r="N27" s="135"/>
      <c r="O27" s="160"/>
      <c r="P27" s="160"/>
      <c r="Q27" s="135"/>
      <c r="R27" s="135"/>
      <c r="S27" s="135"/>
      <c r="T27" s="135"/>
      <c r="U27" s="135"/>
      <c r="V27" s="160"/>
      <c r="W27" s="160"/>
      <c r="X27" s="135"/>
      <c r="Y27" s="135"/>
      <c r="Z27" s="135"/>
      <c r="AA27" s="135"/>
      <c r="AB27" s="135"/>
      <c r="AC27" s="160"/>
      <c r="AD27" s="160"/>
      <c r="AE27" s="168"/>
      <c r="AF27" s="168"/>
      <c r="AG27" s="168"/>
      <c r="AH27" s="166"/>
      <c r="AI27" s="135"/>
      <c r="AJ27" s="160"/>
      <c r="AK27" s="160"/>
      <c r="AL27" s="135"/>
      <c r="AM27" s="135"/>
      <c r="AN27" s="135"/>
      <c r="AO27" s="135"/>
      <c r="AP27" s="135"/>
      <c r="AQ27" s="160"/>
      <c r="AR27" s="160"/>
      <c r="AS27" s="55"/>
      <c r="AT27" s="55"/>
      <c r="AU27" s="55"/>
      <c r="AV27" s="55"/>
      <c r="AW27" s="55"/>
      <c r="AX27" s="159"/>
      <c r="AY27" s="159"/>
      <c r="AZ27" s="55"/>
      <c r="BA27" s="55"/>
      <c r="BB27" s="55"/>
      <c r="BC27" s="172"/>
      <c r="BD27" s="173"/>
      <c r="BE27" s="159"/>
      <c r="BF27" s="159"/>
      <c r="BG27" s="55"/>
      <c r="BH27" s="170"/>
      <c r="BI27" s="170"/>
      <c r="BJ27" s="153"/>
      <c r="BK27" s="153"/>
      <c r="BL27" s="159"/>
      <c r="BM27" s="159"/>
      <c r="BN27" s="169"/>
      <c r="BO27" s="169"/>
      <c r="BP27" s="55"/>
      <c r="BQ27" s="55"/>
      <c r="BR27" s="55"/>
      <c r="BS27" s="159"/>
      <c r="BT27" s="159"/>
      <c r="BU27" s="55"/>
      <c r="BV27" s="55"/>
      <c r="BW27" s="55"/>
      <c r="BX27" s="55"/>
      <c r="BY27" s="55"/>
      <c r="BZ27" s="159"/>
      <c r="CA27" s="159"/>
      <c r="CB27" s="55"/>
      <c r="CC27" s="55"/>
      <c r="CD27" s="55"/>
      <c r="CE27" s="55"/>
      <c r="CF27" s="55"/>
      <c r="CG27" s="159"/>
      <c r="CH27" s="159"/>
      <c r="CI27" s="156"/>
      <c r="CJ27" s="156"/>
      <c r="CK27" s="156"/>
      <c r="CL27" s="156"/>
      <c r="CM27" s="156"/>
      <c r="CN27" s="155"/>
      <c r="CO27" s="155"/>
      <c r="CP27" s="156"/>
      <c r="CQ27" s="156"/>
      <c r="CR27" s="156"/>
      <c r="CS27" s="156"/>
      <c r="CT27" s="156"/>
      <c r="CU27" s="155"/>
      <c r="CV27" s="155"/>
      <c r="CW27" s="156"/>
      <c r="CX27" s="156"/>
      <c r="CY27" s="156"/>
      <c r="CZ27" s="156"/>
      <c r="DA27" s="156"/>
      <c r="DB27" s="155"/>
      <c r="DC27" s="155"/>
      <c r="DD27" s="156"/>
      <c r="DE27" s="156"/>
      <c r="DF27" s="156"/>
      <c r="DG27" s="156"/>
      <c r="DH27" s="156"/>
      <c r="DI27" s="155"/>
      <c r="DJ27" s="155"/>
      <c r="DK27" s="156"/>
      <c r="DL27" s="156"/>
      <c r="DM27" s="156"/>
      <c r="DN27" s="156"/>
      <c r="DO27" s="156"/>
      <c r="DP27" s="155"/>
      <c r="DQ27" s="155"/>
      <c r="DR27" s="156"/>
      <c r="DS27" s="156"/>
      <c r="DT27" s="156"/>
      <c r="DU27" s="156"/>
      <c r="DV27" s="156"/>
    </row>
    <row r="28" ht="15.75" customHeight="1">
      <c r="A28" s="146"/>
      <c r="B28" s="165" t="s">
        <v>89</v>
      </c>
      <c r="C28" s="135"/>
      <c r="D28" s="135"/>
      <c r="E28" s="135"/>
      <c r="F28" s="135"/>
      <c r="G28" s="135"/>
      <c r="H28" s="160"/>
      <c r="I28" s="160"/>
      <c r="J28" s="135"/>
      <c r="K28" s="135"/>
      <c r="L28" s="135"/>
      <c r="M28" s="135"/>
      <c r="N28" s="135"/>
      <c r="O28" s="160"/>
      <c r="P28" s="160"/>
      <c r="Q28" s="135"/>
      <c r="R28" s="135"/>
      <c r="S28" s="135"/>
      <c r="T28" s="135"/>
      <c r="U28" s="135"/>
      <c r="V28" s="160"/>
      <c r="W28" s="160"/>
      <c r="X28" s="135"/>
      <c r="Y28" s="135"/>
      <c r="Z28" s="135"/>
      <c r="AA28" s="135"/>
      <c r="AB28" s="135"/>
      <c r="AC28" s="160"/>
      <c r="AD28" s="160"/>
      <c r="AE28" s="168"/>
      <c r="AF28" s="168"/>
      <c r="AG28" s="168"/>
      <c r="AH28" s="166"/>
      <c r="AI28" s="135"/>
      <c r="AJ28" s="160"/>
      <c r="AK28" s="160"/>
      <c r="AL28" s="135"/>
      <c r="AM28" s="135"/>
      <c r="AN28" s="135"/>
      <c r="AO28" s="135"/>
      <c r="AP28" s="135"/>
      <c r="AQ28" s="160"/>
      <c r="AR28" s="160"/>
      <c r="AS28" s="55"/>
      <c r="AT28" s="55"/>
      <c r="AU28" s="55"/>
      <c r="AV28" s="55"/>
      <c r="AW28" s="55"/>
      <c r="AX28" s="159"/>
      <c r="AY28" s="159"/>
      <c r="AZ28" s="55"/>
      <c r="BA28" s="55"/>
      <c r="BB28" s="55"/>
      <c r="BC28" s="157"/>
      <c r="BD28" s="172"/>
      <c r="BE28" s="159"/>
      <c r="BF28" s="159"/>
      <c r="BG28" s="172"/>
      <c r="BH28" s="157"/>
      <c r="BI28" s="157"/>
      <c r="BJ28" s="170"/>
      <c r="BK28" s="157"/>
      <c r="BL28" s="159"/>
      <c r="BM28" s="159"/>
      <c r="BN28" s="169"/>
      <c r="BO28" s="169"/>
      <c r="BP28" s="55"/>
      <c r="BQ28" s="55"/>
      <c r="BR28" s="55"/>
      <c r="BS28" s="159"/>
      <c r="BT28" s="159"/>
      <c r="BU28" s="55"/>
      <c r="BV28" s="55"/>
      <c r="BW28" s="55"/>
      <c r="BX28" s="55"/>
      <c r="BY28" s="55"/>
      <c r="BZ28" s="159"/>
      <c r="CA28" s="159"/>
      <c r="CB28" s="55"/>
      <c r="CC28" s="55"/>
      <c r="CD28" s="55"/>
      <c r="CE28" s="55"/>
      <c r="CF28" s="55"/>
      <c r="CG28" s="159"/>
      <c r="CH28" s="159"/>
      <c r="CI28" s="156"/>
      <c r="CJ28" s="156"/>
      <c r="CK28" s="156"/>
      <c r="CL28" s="156"/>
      <c r="CM28" s="156"/>
      <c r="CN28" s="155"/>
      <c r="CO28" s="155"/>
      <c r="CP28" s="156"/>
      <c r="CQ28" s="156"/>
      <c r="CR28" s="156"/>
      <c r="CS28" s="156"/>
      <c r="CT28" s="156"/>
      <c r="CU28" s="155"/>
      <c r="CV28" s="155"/>
      <c r="CW28" s="156"/>
      <c r="CX28" s="156"/>
      <c r="CY28" s="156"/>
      <c r="CZ28" s="156"/>
      <c r="DA28" s="156"/>
      <c r="DB28" s="155"/>
      <c r="DC28" s="155"/>
      <c r="DD28" s="156"/>
      <c r="DE28" s="156"/>
      <c r="DF28" s="156"/>
      <c r="DG28" s="156"/>
      <c r="DH28" s="156"/>
      <c r="DI28" s="155"/>
      <c r="DJ28" s="155"/>
      <c r="DK28" s="156"/>
      <c r="DL28" s="156"/>
      <c r="DM28" s="156"/>
      <c r="DN28" s="156"/>
      <c r="DO28" s="156"/>
      <c r="DP28" s="155"/>
      <c r="DQ28" s="155"/>
      <c r="DR28" s="156"/>
      <c r="DS28" s="156"/>
      <c r="DT28" s="156"/>
      <c r="DU28" s="156"/>
      <c r="DV28" s="156"/>
    </row>
    <row r="29" ht="15.75" customHeight="1">
      <c r="A29" s="146"/>
      <c r="B29" s="165" t="s">
        <v>91</v>
      </c>
      <c r="C29" s="135"/>
      <c r="D29" s="135"/>
      <c r="E29" s="135"/>
      <c r="F29" s="135"/>
      <c r="G29" s="135"/>
      <c r="H29" s="160"/>
      <c r="I29" s="160"/>
      <c r="J29" s="135"/>
      <c r="K29" s="135"/>
      <c r="L29" s="135"/>
      <c r="M29" s="135"/>
      <c r="N29" s="135"/>
      <c r="O29" s="160"/>
      <c r="P29" s="160"/>
      <c r="Q29" s="135"/>
      <c r="R29" s="135"/>
      <c r="S29" s="135"/>
      <c r="T29" s="135"/>
      <c r="U29" s="135"/>
      <c r="V29" s="160"/>
      <c r="W29" s="160"/>
      <c r="X29" s="135"/>
      <c r="Y29" s="135"/>
      <c r="Z29" s="135"/>
      <c r="AA29" s="135"/>
      <c r="AB29" s="135"/>
      <c r="AC29" s="160"/>
      <c r="AD29" s="160"/>
      <c r="AE29" s="168"/>
      <c r="AF29" s="168"/>
      <c r="AG29" s="168"/>
      <c r="AH29" s="166"/>
      <c r="AI29" s="135"/>
      <c r="AJ29" s="160"/>
      <c r="AK29" s="160"/>
      <c r="AL29" s="135"/>
      <c r="AM29" s="135"/>
      <c r="AN29" s="135"/>
      <c r="AO29" s="135"/>
      <c r="AP29" s="135"/>
      <c r="AQ29" s="160"/>
      <c r="AR29" s="160"/>
      <c r="AS29" s="55"/>
      <c r="AT29" s="55"/>
      <c r="AU29" s="55"/>
      <c r="AV29" s="55"/>
      <c r="AW29" s="55"/>
      <c r="AX29" s="159"/>
      <c r="AY29" s="159"/>
      <c r="AZ29" s="55"/>
      <c r="BA29" s="55"/>
      <c r="BB29" s="55"/>
      <c r="BC29" s="55"/>
      <c r="BD29" s="55"/>
      <c r="BE29" s="159"/>
      <c r="BF29" s="159"/>
      <c r="BG29" s="157"/>
      <c r="BH29" s="172"/>
      <c r="BI29" s="172"/>
      <c r="BJ29" s="174"/>
      <c r="BK29" s="170"/>
      <c r="BL29" s="159"/>
      <c r="BM29" s="159"/>
      <c r="BN29" s="170"/>
      <c r="BO29" s="169"/>
      <c r="BP29" s="55"/>
      <c r="BQ29" s="55"/>
      <c r="BR29" s="55"/>
      <c r="BS29" s="159"/>
      <c r="BT29" s="159"/>
      <c r="BU29" s="55"/>
      <c r="BV29" s="55"/>
      <c r="BW29" s="55"/>
      <c r="BX29" s="55"/>
      <c r="BY29" s="55"/>
      <c r="BZ29" s="159"/>
      <c r="CA29" s="159"/>
      <c r="CB29" s="55"/>
      <c r="CC29" s="55"/>
      <c r="CD29" s="55"/>
      <c r="CE29" s="55"/>
      <c r="CF29" s="55"/>
      <c r="CG29" s="159"/>
      <c r="CH29" s="159"/>
      <c r="CI29" s="156"/>
      <c r="CJ29" s="156"/>
      <c r="CK29" s="156"/>
      <c r="CL29" s="156"/>
      <c r="CM29" s="156"/>
      <c r="CN29" s="155"/>
      <c r="CO29" s="155"/>
      <c r="CP29" s="156"/>
      <c r="CQ29" s="156"/>
      <c r="CR29" s="156"/>
      <c r="CS29" s="156"/>
      <c r="CT29" s="156"/>
      <c r="CU29" s="155"/>
      <c r="CV29" s="155"/>
      <c r="CW29" s="156"/>
      <c r="CX29" s="156"/>
      <c r="CY29" s="156"/>
      <c r="CZ29" s="156"/>
      <c r="DA29" s="156"/>
      <c r="DB29" s="155"/>
      <c r="DC29" s="155"/>
      <c r="DD29" s="156"/>
      <c r="DE29" s="156"/>
      <c r="DF29" s="156"/>
      <c r="DG29" s="156"/>
      <c r="DH29" s="156"/>
      <c r="DI29" s="155"/>
      <c r="DJ29" s="155"/>
      <c r="DK29" s="156"/>
      <c r="DL29" s="156"/>
      <c r="DM29" s="156"/>
      <c r="DN29" s="156"/>
      <c r="DO29" s="156"/>
      <c r="DP29" s="155"/>
      <c r="DQ29" s="155"/>
      <c r="DR29" s="156"/>
      <c r="DS29" s="156"/>
      <c r="DT29" s="156"/>
      <c r="DU29" s="156"/>
      <c r="DV29" s="156"/>
    </row>
    <row r="30" ht="15.75" customHeight="1">
      <c r="A30" s="146"/>
      <c r="B30" s="167" t="s">
        <v>210</v>
      </c>
      <c r="C30" s="135"/>
      <c r="D30" s="135"/>
      <c r="E30" s="135"/>
      <c r="F30" s="135"/>
      <c r="G30" s="135"/>
      <c r="H30" s="160"/>
      <c r="I30" s="160"/>
      <c r="J30" s="135"/>
      <c r="K30" s="135"/>
      <c r="L30" s="135"/>
      <c r="M30" s="135"/>
      <c r="N30" s="135"/>
      <c r="O30" s="160"/>
      <c r="P30" s="160"/>
      <c r="Q30" s="135"/>
      <c r="R30" s="135"/>
      <c r="S30" s="135"/>
      <c r="T30" s="135"/>
      <c r="U30" s="135"/>
      <c r="V30" s="160"/>
      <c r="W30" s="160"/>
      <c r="X30" s="135"/>
      <c r="Y30" s="135"/>
      <c r="Z30" s="135"/>
      <c r="AA30" s="135"/>
      <c r="AB30" s="135"/>
      <c r="AC30" s="160"/>
      <c r="AD30" s="160"/>
      <c r="AE30" s="168"/>
      <c r="AF30" s="168"/>
      <c r="AG30" s="168"/>
      <c r="AH30" s="166"/>
      <c r="AI30" s="135"/>
      <c r="AJ30" s="160"/>
      <c r="AK30" s="160"/>
      <c r="AL30" s="135"/>
      <c r="AM30" s="135"/>
      <c r="AN30" s="135"/>
      <c r="AO30" s="135"/>
      <c r="AP30" s="135"/>
      <c r="AQ30" s="160"/>
      <c r="AR30" s="160"/>
      <c r="AS30" s="55"/>
      <c r="AT30" s="55"/>
      <c r="AU30" s="55"/>
      <c r="AV30" s="55"/>
      <c r="AW30" s="55"/>
      <c r="AX30" s="159"/>
      <c r="AY30" s="159"/>
      <c r="AZ30" s="55"/>
      <c r="BA30" s="55"/>
      <c r="BB30" s="55"/>
      <c r="BC30" s="55"/>
      <c r="BD30" s="55"/>
      <c r="BE30" s="159"/>
      <c r="BF30" s="159"/>
      <c r="BG30" s="157"/>
      <c r="BH30" s="157"/>
      <c r="BI30" s="173"/>
      <c r="BJ30" s="172"/>
      <c r="BK30" s="157"/>
      <c r="BL30" s="159"/>
      <c r="BM30" s="159"/>
      <c r="BN30" s="169"/>
      <c r="BO30" s="169"/>
      <c r="BP30" s="55"/>
      <c r="BQ30" s="55"/>
      <c r="BR30" s="55"/>
      <c r="BS30" s="159"/>
      <c r="BT30" s="159"/>
      <c r="BU30" s="55"/>
      <c r="BV30" s="55"/>
      <c r="BW30" s="55"/>
      <c r="BX30" s="55"/>
      <c r="BY30" s="55"/>
      <c r="BZ30" s="159"/>
      <c r="CA30" s="159"/>
      <c r="CB30" s="55"/>
      <c r="CC30" s="55"/>
      <c r="CD30" s="55"/>
      <c r="CE30" s="55"/>
      <c r="CF30" s="55"/>
      <c r="CG30" s="159"/>
      <c r="CH30" s="159"/>
      <c r="CI30" s="156"/>
      <c r="CJ30" s="156"/>
      <c r="CK30" s="156"/>
      <c r="CL30" s="156"/>
      <c r="CM30" s="156"/>
      <c r="CN30" s="155"/>
      <c r="CO30" s="155"/>
      <c r="CP30" s="156"/>
      <c r="CQ30" s="156"/>
      <c r="CR30" s="156"/>
      <c r="CS30" s="156"/>
      <c r="CT30" s="156"/>
      <c r="CU30" s="155"/>
      <c r="CV30" s="155"/>
      <c r="CW30" s="156"/>
      <c r="CX30" s="156"/>
      <c r="CY30" s="156"/>
      <c r="CZ30" s="156"/>
      <c r="DA30" s="156"/>
      <c r="DB30" s="155"/>
      <c r="DC30" s="155"/>
      <c r="DD30" s="156"/>
      <c r="DE30" s="156"/>
      <c r="DF30" s="156"/>
      <c r="DG30" s="156"/>
      <c r="DH30" s="156"/>
      <c r="DI30" s="155"/>
      <c r="DJ30" s="155"/>
      <c r="DK30" s="156"/>
      <c r="DL30" s="156"/>
      <c r="DM30" s="156"/>
      <c r="DN30" s="156"/>
      <c r="DO30" s="156"/>
      <c r="DP30" s="155"/>
      <c r="DQ30" s="155"/>
      <c r="DR30" s="156"/>
      <c r="DS30" s="156"/>
      <c r="DT30" s="156"/>
      <c r="DU30" s="156"/>
      <c r="DV30" s="156"/>
    </row>
    <row r="31" ht="15.75" customHeight="1">
      <c r="A31" s="146"/>
      <c r="B31" s="165" t="s">
        <v>211</v>
      </c>
      <c r="C31" s="135"/>
      <c r="D31" s="135"/>
      <c r="E31" s="135"/>
      <c r="F31" s="135"/>
      <c r="G31" s="135"/>
      <c r="H31" s="160"/>
      <c r="I31" s="160"/>
      <c r="J31" s="135"/>
      <c r="K31" s="135"/>
      <c r="L31" s="135"/>
      <c r="M31" s="135"/>
      <c r="N31" s="135"/>
      <c r="O31" s="160"/>
      <c r="P31" s="160"/>
      <c r="Q31" s="135"/>
      <c r="R31" s="135"/>
      <c r="S31" s="135"/>
      <c r="T31" s="135"/>
      <c r="U31" s="135"/>
      <c r="V31" s="160"/>
      <c r="W31" s="160"/>
      <c r="X31" s="135"/>
      <c r="Y31" s="135"/>
      <c r="Z31" s="135"/>
      <c r="AA31" s="135"/>
      <c r="AB31" s="135"/>
      <c r="AC31" s="160"/>
      <c r="AD31" s="160"/>
      <c r="AE31" s="168"/>
      <c r="AF31" s="168"/>
      <c r="AG31" s="168"/>
      <c r="AH31" s="166"/>
      <c r="AI31" s="135"/>
      <c r="AJ31" s="160"/>
      <c r="AK31" s="160"/>
      <c r="AL31" s="175"/>
      <c r="AM31" s="175"/>
      <c r="AN31" s="175"/>
      <c r="AO31" s="176"/>
      <c r="AP31" s="135"/>
      <c r="AQ31" s="160"/>
      <c r="AR31" s="160"/>
      <c r="AS31" s="55"/>
      <c r="AT31" s="55"/>
      <c r="AU31" s="55"/>
      <c r="AV31" s="55"/>
      <c r="AW31" s="55"/>
      <c r="AX31" s="159"/>
      <c r="AY31" s="159"/>
      <c r="AZ31" s="55"/>
      <c r="BA31" s="55"/>
      <c r="BB31" s="55"/>
      <c r="BC31" s="55"/>
      <c r="BD31" s="55"/>
      <c r="BE31" s="159"/>
      <c r="BF31" s="159"/>
      <c r="BG31" s="157"/>
      <c r="BH31" s="157"/>
      <c r="BI31" s="157"/>
      <c r="BJ31" s="173"/>
      <c r="BK31" s="172"/>
      <c r="BL31" s="159"/>
      <c r="BM31" s="159"/>
      <c r="BN31" s="176"/>
      <c r="BO31" s="169"/>
      <c r="BP31" s="55"/>
      <c r="BQ31" s="55"/>
      <c r="BR31" s="55"/>
      <c r="BS31" s="159"/>
      <c r="BT31" s="159"/>
      <c r="BU31" s="55"/>
      <c r="BV31" s="55"/>
      <c r="BW31" s="55"/>
      <c r="BX31" s="55"/>
      <c r="BY31" s="55"/>
      <c r="BZ31" s="159"/>
      <c r="CA31" s="159"/>
      <c r="CB31" s="55"/>
      <c r="CC31" s="55"/>
      <c r="CD31" s="55"/>
      <c r="CE31" s="55"/>
      <c r="CF31" s="55"/>
      <c r="CG31" s="159"/>
      <c r="CH31" s="159"/>
      <c r="CI31" s="156"/>
      <c r="CJ31" s="156"/>
      <c r="CK31" s="156"/>
      <c r="CL31" s="156"/>
      <c r="CM31" s="156"/>
      <c r="CN31" s="155"/>
      <c r="CO31" s="155"/>
      <c r="CP31" s="156"/>
      <c r="CQ31" s="156"/>
      <c r="CR31" s="156"/>
      <c r="CS31" s="156"/>
      <c r="CT31" s="156"/>
      <c r="CU31" s="155"/>
      <c r="CV31" s="155"/>
      <c r="CW31" s="156"/>
      <c r="CX31" s="156"/>
      <c r="CY31" s="156"/>
      <c r="CZ31" s="156"/>
      <c r="DA31" s="156"/>
      <c r="DB31" s="155"/>
      <c r="DC31" s="155"/>
      <c r="DD31" s="156"/>
      <c r="DE31" s="156"/>
      <c r="DF31" s="156"/>
      <c r="DG31" s="156"/>
      <c r="DH31" s="156"/>
      <c r="DI31" s="155"/>
      <c r="DJ31" s="155"/>
      <c r="DK31" s="156"/>
      <c r="DL31" s="156"/>
      <c r="DM31" s="156"/>
      <c r="DN31" s="156"/>
      <c r="DO31" s="156"/>
      <c r="DP31" s="155"/>
      <c r="DQ31" s="155"/>
      <c r="DR31" s="156"/>
      <c r="DS31" s="156"/>
      <c r="DT31" s="156"/>
      <c r="DU31" s="156"/>
      <c r="DV31" s="156"/>
    </row>
    <row r="32" ht="15.75" customHeight="1">
      <c r="A32" s="146"/>
      <c r="B32" s="165" t="s">
        <v>212</v>
      </c>
      <c r="C32" s="135"/>
      <c r="D32" s="135"/>
      <c r="E32" s="135"/>
      <c r="F32" s="135"/>
      <c r="G32" s="135"/>
      <c r="H32" s="160"/>
      <c r="I32" s="160"/>
      <c r="J32" s="135"/>
      <c r="K32" s="135"/>
      <c r="L32" s="135"/>
      <c r="M32" s="135"/>
      <c r="N32" s="135"/>
      <c r="O32" s="160"/>
      <c r="P32" s="160"/>
      <c r="Q32" s="135"/>
      <c r="R32" s="135"/>
      <c r="S32" s="135"/>
      <c r="T32" s="135"/>
      <c r="U32" s="135"/>
      <c r="V32" s="160"/>
      <c r="W32" s="160"/>
      <c r="X32" s="135"/>
      <c r="Y32" s="135"/>
      <c r="Z32" s="135"/>
      <c r="AA32" s="135"/>
      <c r="AB32" s="135"/>
      <c r="AC32" s="160"/>
      <c r="AD32" s="160"/>
      <c r="AE32" s="168"/>
      <c r="AF32" s="168"/>
      <c r="AG32" s="168"/>
      <c r="AH32" s="166"/>
      <c r="AI32" s="135"/>
      <c r="AJ32" s="160"/>
      <c r="AK32" s="160"/>
      <c r="AL32" s="135"/>
      <c r="AM32" s="176"/>
      <c r="AN32" s="176"/>
      <c r="AO32" s="176"/>
      <c r="AP32" s="135"/>
      <c r="AQ32" s="160"/>
      <c r="AR32" s="160"/>
      <c r="AS32" s="55"/>
      <c r="AT32" s="55"/>
      <c r="AU32" s="55"/>
      <c r="AV32" s="55"/>
      <c r="AW32" s="55"/>
      <c r="AX32" s="159"/>
      <c r="AY32" s="159"/>
      <c r="AZ32" s="55"/>
      <c r="BA32" s="55"/>
      <c r="BB32" s="55"/>
      <c r="BC32" s="175"/>
      <c r="BD32" s="55"/>
      <c r="BE32" s="159"/>
      <c r="BF32" s="159"/>
      <c r="BG32" s="157"/>
      <c r="BH32" s="157"/>
      <c r="BI32" s="157"/>
      <c r="BJ32" s="173"/>
      <c r="BK32" s="172"/>
      <c r="BL32" s="159"/>
      <c r="BM32" s="159"/>
      <c r="BN32" s="176"/>
      <c r="BO32" s="153"/>
      <c r="BP32" s="153"/>
      <c r="BQ32" s="153"/>
      <c r="BR32" s="55"/>
      <c r="BS32" s="159"/>
      <c r="BT32" s="159"/>
      <c r="BU32" s="55"/>
      <c r="BV32" s="55"/>
      <c r="BW32" s="55"/>
      <c r="BX32" s="55"/>
      <c r="BY32" s="55"/>
      <c r="BZ32" s="159"/>
      <c r="CA32" s="159"/>
      <c r="CB32" s="55"/>
      <c r="CC32" s="55"/>
      <c r="CD32" s="55"/>
      <c r="CE32" s="55"/>
      <c r="CF32" s="55"/>
      <c r="CG32" s="159"/>
      <c r="CH32" s="159"/>
      <c r="CI32" s="156"/>
      <c r="CJ32" s="156"/>
      <c r="CK32" s="156"/>
      <c r="CL32" s="156"/>
      <c r="CM32" s="156"/>
      <c r="CN32" s="155"/>
      <c r="CO32" s="155"/>
      <c r="CP32" s="156"/>
      <c r="CQ32" s="156"/>
      <c r="CR32" s="156"/>
      <c r="CS32" s="156"/>
      <c r="CT32" s="156"/>
      <c r="CU32" s="155"/>
      <c r="CV32" s="155"/>
      <c r="CW32" s="156"/>
      <c r="CX32" s="156"/>
      <c r="CY32" s="156"/>
      <c r="CZ32" s="156"/>
      <c r="DA32" s="156"/>
      <c r="DB32" s="155"/>
      <c r="DC32" s="155"/>
      <c r="DD32" s="156"/>
      <c r="DE32" s="156"/>
      <c r="DF32" s="156"/>
      <c r="DG32" s="156"/>
      <c r="DH32" s="156"/>
      <c r="DI32" s="155"/>
      <c r="DJ32" s="155"/>
      <c r="DK32" s="156"/>
      <c r="DL32" s="156"/>
      <c r="DM32" s="156"/>
      <c r="DN32" s="156"/>
      <c r="DO32" s="156"/>
      <c r="DP32" s="155"/>
      <c r="DQ32" s="155"/>
      <c r="DR32" s="156"/>
      <c r="DS32" s="156"/>
      <c r="DT32" s="156"/>
      <c r="DU32" s="156"/>
      <c r="DV32" s="156"/>
    </row>
    <row r="33" ht="15.75" customHeight="1">
      <c r="A33" s="146"/>
      <c r="B33" s="165" t="s">
        <v>102</v>
      </c>
      <c r="C33" s="135"/>
      <c r="D33" s="135"/>
      <c r="E33" s="135"/>
      <c r="F33" s="135"/>
      <c r="G33" s="135"/>
      <c r="H33" s="160"/>
      <c r="I33" s="160"/>
      <c r="J33" s="135"/>
      <c r="K33" s="135"/>
      <c r="L33" s="135"/>
      <c r="M33" s="135"/>
      <c r="N33" s="135"/>
      <c r="O33" s="160"/>
      <c r="P33" s="160"/>
      <c r="Q33" s="135"/>
      <c r="R33" s="135"/>
      <c r="S33" s="135"/>
      <c r="T33" s="135"/>
      <c r="U33" s="135"/>
      <c r="V33" s="160"/>
      <c r="W33" s="160"/>
      <c r="X33" s="135"/>
      <c r="Y33" s="135"/>
      <c r="Z33" s="135"/>
      <c r="AA33" s="135"/>
      <c r="AB33" s="135"/>
      <c r="AC33" s="160"/>
      <c r="AD33" s="160"/>
      <c r="AE33" s="168"/>
      <c r="AF33" s="168"/>
      <c r="AG33" s="168"/>
      <c r="AH33" s="166"/>
      <c r="AI33" s="135"/>
      <c r="AJ33" s="160"/>
      <c r="AK33" s="160"/>
      <c r="AL33" s="135"/>
      <c r="AM33" s="176"/>
      <c r="AN33" s="176"/>
      <c r="AO33" s="176"/>
      <c r="AP33" s="135"/>
      <c r="AQ33" s="160"/>
      <c r="AR33" s="160"/>
      <c r="AS33" s="55"/>
      <c r="AT33" s="55"/>
      <c r="AU33" s="55"/>
      <c r="AV33" s="55"/>
      <c r="AW33" s="55"/>
      <c r="AX33" s="159"/>
      <c r="AY33" s="159"/>
      <c r="AZ33" s="55"/>
      <c r="BA33" s="55"/>
      <c r="BB33" s="55"/>
      <c r="BC33" s="55"/>
      <c r="BD33" s="55"/>
      <c r="BE33" s="159"/>
      <c r="BF33" s="159"/>
      <c r="BG33" s="157"/>
      <c r="BH33" s="157"/>
      <c r="BI33" s="157"/>
      <c r="BJ33" s="173"/>
      <c r="BK33" s="172"/>
      <c r="BL33" s="159"/>
      <c r="BM33" s="159"/>
      <c r="BN33" s="176"/>
      <c r="BO33" s="177"/>
      <c r="BP33" s="177"/>
      <c r="BQ33" s="177"/>
      <c r="BR33" s="55"/>
      <c r="BS33" s="159"/>
      <c r="BT33" s="159"/>
      <c r="BU33" s="55"/>
      <c r="BV33" s="55"/>
      <c r="BW33" s="55"/>
      <c r="BX33" s="153"/>
      <c r="BY33" s="55"/>
      <c r="BZ33" s="159"/>
      <c r="CA33" s="159"/>
      <c r="CB33" s="55"/>
      <c r="CC33" s="55"/>
      <c r="CD33" s="55"/>
      <c r="CE33" s="55"/>
      <c r="CF33" s="55"/>
      <c r="CG33" s="159"/>
      <c r="CH33" s="159"/>
      <c r="CI33" s="156"/>
      <c r="CJ33" s="156"/>
      <c r="CK33" s="156"/>
      <c r="CL33" s="156"/>
      <c r="CM33" s="156"/>
      <c r="CN33" s="155"/>
      <c r="CO33" s="155"/>
      <c r="CP33" s="156"/>
      <c r="CQ33" s="156"/>
      <c r="CR33" s="156"/>
      <c r="CS33" s="156"/>
      <c r="CT33" s="156"/>
      <c r="CU33" s="155"/>
      <c r="CV33" s="155"/>
      <c r="CW33" s="156"/>
      <c r="CX33" s="156"/>
      <c r="CY33" s="156"/>
      <c r="CZ33" s="156"/>
      <c r="DA33" s="156"/>
      <c r="DB33" s="155"/>
      <c r="DC33" s="155"/>
      <c r="DD33" s="156"/>
      <c r="DE33" s="156"/>
      <c r="DF33" s="156"/>
      <c r="DG33" s="156"/>
      <c r="DH33" s="156"/>
      <c r="DI33" s="155"/>
      <c r="DJ33" s="155"/>
      <c r="DK33" s="156"/>
      <c r="DL33" s="156"/>
      <c r="DM33" s="156"/>
      <c r="DN33" s="156"/>
      <c r="DO33" s="156"/>
      <c r="DP33" s="155"/>
      <c r="DQ33" s="155"/>
      <c r="DR33" s="156"/>
      <c r="DS33" s="156"/>
      <c r="DT33" s="156"/>
      <c r="DU33" s="156"/>
      <c r="DV33" s="156"/>
    </row>
    <row r="34" ht="15.75" customHeight="1">
      <c r="A34" s="146"/>
      <c r="B34" s="165" t="s">
        <v>213</v>
      </c>
      <c r="C34" s="135"/>
      <c r="D34" s="135"/>
      <c r="E34" s="135"/>
      <c r="F34" s="135"/>
      <c r="G34" s="135"/>
      <c r="H34" s="160"/>
      <c r="I34" s="160"/>
      <c r="J34" s="135"/>
      <c r="K34" s="135"/>
      <c r="L34" s="135"/>
      <c r="M34" s="135"/>
      <c r="N34" s="135"/>
      <c r="O34" s="160"/>
      <c r="P34" s="160"/>
      <c r="Q34" s="135"/>
      <c r="R34" s="135"/>
      <c r="S34" s="135"/>
      <c r="T34" s="135"/>
      <c r="U34" s="135"/>
      <c r="V34" s="160"/>
      <c r="W34" s="160"/>
      <c r="X34" s="135"/>
      <c r="Y34" s="135"/>
      <c r="Z34" s="135"/>
      <c r="AA34" s="135"/>
      <c r="AB34" s="135"/>
      <c r="AC34" s="160"/>
      <c r="AD34" s="160"/>
      <c r="AE34" s="168"/>
      <c r="AF34" s="168"/>
      <c r="AG34" s="168"/>
      <c r="AH34" s="166"/>
      <c r="AI34" s="135"/>
      <c r="AJ34" s="160"/>
      <c r="AK34" s="160"/>
      <c r="AL34" s="135"/>
      <c r="AM34" s="176"/>
      <c r="AN34" s="176"/>
      <c r="AO34" s="176"/>
      <c r="AP34" s="135"/>
      <c r="AQ34" s="160"/>
      <c r="AR34" s="160"/>
      <c r="AS34" s="55"/>
      <c r="AT34" s="55"/>
      <c r="AU34" s="55"/>
      <c r="AV34" s="55"/>
      <c r="AW34" s="55"/>
      <c r="AX34" s="159"/>
      <c r="AY34" s="159"/>
      <c r="AZ34" s="55"/>
      <c r="BA34" s="55"/>
      <c r="BB34" s="55"/>
      <c r="BC34" s="55"/>
      <c r="BD34" s="175"/>
      <c r="BE34" s="159"/>
      <c r="BF34" s="159"/>
      <c r="BG34" s="157"/>
      <c r="BH34" s="157"/>
      <c r="BI34" s="157"/>
      <c r="BJ34" s="173"/>
      <c r="BK34" s="172"/>
      <c r="BL34" s="159"/>
      <c r="BM34" s="159"/>
      <c r="BN34" s="176"/>
      <c r="BO34" s="153"/>
      <c r="BP34" s="153"/>
      <c r="BQ34" s="153"/>
      <c r="BR34" s="55"/>
      <c r="BS34" s="159"/>
      <c r="BT34" s="159"/>
      <c r="BU34" s="55"/>
      <c r="BV34" s="55"/>
      <c r="BW34" s="55"/>
      <c r="BX34" s="55"/>
      <c r="BY34" s="55"/>
      <c r="BZ34" s="159"/>
      <c r="CA34" s="159"/>
      <c r="CB34" s="55"/>
      <c r="CC34" s="55"/>
      <c r="CD34" s="55"/>
      <c r="CE34" s="55"/>
      <c r="CF34" s="55"/>
      <c r="CG34" s="159"/>
      <c r="CH34" s="159"/>
      <c r="CI34" s="156"/>
      <c r="CJ34" s="156"/>
      <c r="CK34" s="156"/>
      <c r="CL34" s="156"/>
      <c r="CM34" s="156"/>
      <c r="CN34" s="155"/>
      <c r="CO34" s="155"/>
      <c r="CP34" s="156"/>
      <c r="CQ34" s="156"/>
      <c r="CR34" s="156"/>
      <c r="CS34" s="156"/>
      <c r="CT34" s="156"/>
      <c r="CU34" s="155"/>
      <c r="CV34" s="155"/>
      <c r="CW34" s="156"/>
      <c r="CX34" s="156"/>
      <c r="CY34" s="156"/>
      <c r="CZ34" s="156"/>
      <c r="DA34" s="156"/>
      <c r="DB34" s="155"/>
      <c r="DC34" s="155"/>
      <c r="DD34" s="156"/>
      <c r="DE34" s="156"/>
      <c r="DF34" s="156"/>
      <c r="DG34" s="156"/>
      <c r="DH34" s="156"/>
      <c r="DI34" s="155"/>
      <c r="DJ34" s="155"/>
      <c r="DK34" s="156"/>
      <c r="DL34" s="156"/>
      <c r="DM34" s="156"/>
      <c r="DN34" s="156"/>
      <c r="DO34" s="156"/>
      <c r="DP34" s="155"/>
      <c r="DQ34" s="155"/>
      <c r="DR34" s="156"/>
      <c r="DS34" s="156"/>
      <c r="DT34" s="156"/>
      <c r="DU34" s="156"/>
      <c r="DV34" s="156"/>
    </row>
    <row r="35" ht="15.75" customHeight="1">
      <c r="A35" s="146"/>
      <c r="B35" s="165" t="s">
        <v>214</v>
      </c>
      <c r="C35" s="135"/>
      <c r="D35" s="135"/>
      <c r="E35" s="135"/>
      <c r="F35" s="135"/>
      <c r="G35" s="135"/>
      <c r="H35" s="160"/>
      <c r="I35" s="160"/>
      <c r="J35" s="135"/>
      <c r="K35" s="135"/>
      <c r="L35" s="135"/>
      <c r="M35" s="135"/>
      <c r="N35" s="135"/>
      <c r="O35" s="160"/>
      <c r="P35" s="160"/>
      <c r="Q35" s="135"/>
      <c r="R35" s="135"/>
      <c r="S35" s="135"/>
      <c r="T35" s="135"/>
      <c r="U35" s="135"/>
      <c r="V35" s="160"/>
      <c r="W35" s="160"/>
      <c r="X35" s="135"/>
      <c r="Y35" s="135"/>
      <c r="Z35" s="135"/>
      <c r="AA35" s="135"/>
      <c r="AB35" s="135"/>
      <c r="AC35" s="160"/>
      <c r="AD35" s="160"/>
      <c r="AE35" s="168"/>
      <c r="AF35" s="168"/>
      <c r="AG35" s="168"/>
      <c r="AH35" s="166"/>
      <c r="AI35" s="135"/>
      <c r="AJ35" s="160"/>
      <c r="AK35" s="160"/>
      <c r="AL35" s="135"/>
      <c r="AM35" s="176"/>
      <c r="AN35" s="176"/>
      <c r="AO35" s="176"/>
      <c r="AP35" s="175"/>
      <c r="AQ35" s="160"/>
      <c r="AR35" s="160"/>
      <c r="AS35" s="175"/>
      <c r="AT35" s="55"/>
      <c r="AU35" s="55"/>
      <c r="AV35" s="55"/>
      <c r="AW35" s="55"/>
      <c r="AX35" s="159"/>
      <c r="AY35" s="159"/>
      <c r="AZ35" s="55"/>
      <c r="BA35" s="55"/>
      <c r="BB35" s="55"/>
      <c r="BC35" s="55"/>
      <c r="BD35" s="153"/>
      <c r="BE35" s="159"/>
      <c r="BF35" s="159"/>
      <c r="BG35" s="157"/>
      <c r="BH35" s="157"/>
      <c r="BI35" s="157"/>
      <c r="BJ35" s="173"/>
      <c r="BK35" s="172"/>
      <c r="BL35" s="159"/>
      <c r="BM35" s="159"/>
      <c r="BN35" s="176"/>
      <c r="BO35" s="169"/>
      <c r="BP35" s="55"/>
      <c r="BQ35" s="55"/>
      <c r="BR35" s="55"/>
      <c r="BS35" s="159"/>
      <c r="BT35" s="159"/>
      <c r="BU35" s="55"/>
      <c r="BV35" s="55"/>
      <c r="BW35" s="55"/>
      <c r="BX35" s="178"/>
      <c r="BY35" s="55"/>
      <c r="BZ35" s="159"/>
      <c r="CA35" s="159"/>
      <c r="CB35" s="55"/>
      <c r="CC35" s="55"/>
      <c r="CD35" s="55"/>
      <c r="CE35" s="55"/>
      <c r="CF35" s="55"/>
      <c r="CG35" s="159"/>
      <c r="CH35" s="159"/>
      <c r="CI35" s="156"/>
      <c r="CJ35" s="156"/>
      <c r="CK35" s="156"/>
      <c r="CL35" s="156"/>
      <c r="CM35" s="156"/>
      <c r="CN35" s="155"/>
      <c r="CO35" s="155"/>
      <c r="CP35" s="156"/>
      <c r="CQ35" s="156"/>
      <c r="CR35" s="156"/>
      <c r="CS35" s="156"/>
      <c r="CT35" s="156"/>
      <c r="CU35" s="155"/>
      <c r="CV35" s="155"/>
      <c r="CW35" s="156"/>
      <c r="CX35" s="156"/>
      <c r="CY35" s="156"/>
      <c r="CZ35" s="156"/>
      <c r="DA35" s="156"/>
      <c r="DB35" s="155"/>
      <c r="DC35" s="155"/>
      <c r="DD35" s="156"/>
      <c r="DE35" s="156"/>
      <c r="DF35" s="156"/>
      <c r="DG35" s="156"/>
      <c r="DH35" s="156"/>
      <c r="DI35" s="155"/>
      <c r="DJ35" s="155"/>
      <c r="DK35" s="156"/>
      <c r="DL35" s="156"/>
      <c r="DM35" s="156"/>
      <c r="DN35" s="156"/>
      <c r="DO35" s="156"/>
      <c r="DP35" s="155"/>
      <c r="DQ35" s="155"/>
      <c r="DR35" s="156"/>
      <c r="DS35" s="156"/>
      <c r="DT35" s="156"/>
      <c r="DU35" s="156"/>
      <c r="DV35" s="156"/>
    </row>
    <row r="36" ht="15.75" customHeight="1">
      <c r="A36" s="146"/>
      <c r="B36" s="165" t="s">
        <v>215</v>
      </c>
      <c r="C36" s="135"/>
      <c r="D36" s="135"/>
      <c r="E36" s="135"/>
      <c r="F36" s="135"/>
      <c r="G36" s="135"/>
      <c r="H36" s="160"/>
      <c r="I36" s="160"/>
      <c r="J36" s="135"/>
      <c r="K36" s="135"/>
      <c r="L36" s="135"/>
      <c r="M36" s="135"/>
      <c r="N36" s="135"/>
      <c r="O36" s="160"/>
      <c r="P36" s="160"/>
      <c r="Q36" s="135"/>
      <c r="R36" s="135"/>
      <c r="S36" s="135"/>
      <c r="T36" s="135"/>
      <c r="U36" s="135"/>
      <c r="V36" s="160"/>
      <c r="W36" s="160"/>
      <c r="X36" s="135"/>
      <c r="Y36" s="135"/>
      <c r="Z36" s="135"/>
      <c r="AA36" s="135"/>
      <c r="AB36" s="135"/>
      <c r="AC36" s="160"/>
      <c r="AD36" s="160"/>
      <c r="AE36" s="168"/>
      <c r="AF36" s="168"/>
      <c r="AG36" s="168"/>
      <c r="AH36" s="166"/>
      <c r="AI36" s="135"/>
      <c r="AJ36" s="160"/>
      <c r="AK36" s="160"/>
      <c r="AL36" s="135"/>
      <c r="AM36" s="176"/>
      <c r="AN36" s="176"/>
      <c r="AO36" s="176"/>
      <c r="AP36" s="135"/>
      <c r="AQ36" s="160"/>
      <c r="AR36" s="160"/>
      <c r="AS36" s="55"/>
      <c r="AT36" s="175"/>
      <c r="AU36" s="175"/>
      <c r="AV36" s="55"/>
      <c r="AW36" s="55"/>
      <c r="AX36" s="159"/>
      <c r="AY36" s="159"/>
      <c r="AZ36" s="55"/>
      <c r="BA36" s="55"/>
      <c r="BB36" s="55"/>
      <c r="BC36" s="55"/>
      <c r="BD36" s="55"/>
      <c r="BE36" s="159"/>
      <c r="BF36" s="159"/>
      <c r="BG36" s="157"/>
      <c r="BH36" s="157"/>
      <c r="BI36" s="157"/>
      <c r="BJ36" s="173"/>
      <c r="BK36" s="172"/>
      <c r="BL36" s="159"/>
      <c r="BM36" s="159"/>
      <c r="BN36" s="176"/>
      <c r="BO36" s="169"/>
      <c r="BP36" s="55"/>
      <c r="BQ36" s="55"/>
      <c r="BR36" s="55"/>
      <c r="BS36" s="159"/>
      <c r="BT36" s="159"/>
      <c r="BU36" s="55"/>
      <c r="BV36" s="55"/>
      <c r="BW36" s="55"/>
      <c r="BX36" s="55"/>
      <c r="BY36" s="55"/>
      <c r="BZ36" s="159"/>
      <c r="CA36" s="159"/>
      <c r="CB36" s="55"/>
      <c r="CC36" s="55"/>
      <c r="CD36" s="55"/>
      <c r="CE36" s="55"/>
      <c r="CF36" s="55"/>
      <c r="CG36" s="159"/>
      <c r="CH36" s="159"/>
      <c r="CI36" s="156"/>
      <c r="CJ36" s="156"/>
      <c r="CK36" s="156"/>
      <c r="CL36" s="156"/>
      <c r="CM36" s="156"/>
      <c r="CN36" s="155"/>
      <c r="CO36" s="155"/>
      <c r="CP36" s="156"/>
      <c r="CQ36" s="156"/>
      <c r="CR36" s="156"/>
      <c r="CS36" s="156"/>
      <c r="CT36" s="156"/>
      <c r="CU36" s="155"/>
      <c r="CV36" s="155"/>
      <c r="CW36" s="156"/>
      <c r="CX36" s="156"/>
      <c r="CY36" s="156"/>
      <c r="CZ36" s="156"/>
      <c r="DA36" s="156"/>
      <c r="DB36" s="155"/>
      <c r="DC36" s="155"/>
      <c r="DD36" s="156"/>
      <c r="DE36" s="156"/>
      <c r="DF36" s="156"/>
      <c r="DG36" s="156"/>
      <c r="DH36" s="156"/>
      <c r="DI36" s="155"/>
      <c r="DJ36" s="155"/>
      <c r="DK36" s="156"/>
      <c r="DL36" s="156"/>
      <c r="DM36" s="156"/>
      <c r="DN36" s="156"/>
      <c r="DO36" s="156"/>
      <c r="DP36" s="155"/>
      <c r="DQ36" s="155"/>
      <c r="DR36" s="156"/>
      <c r="DS36" s="156"/>
      <c r="DT36" s="156"/>
      <c r="DU36" s="156"/>
      <c r="DV36" s="156"/>
    </row>
    <row r="37" ht="15.75" customHeight="1">
      <c r="A37" s="146"/>
      <c r="B37" s="165" t="s">
        <v>216</v>
      </c>
      <c r="C37" s="135"/>
      <c r="D37" s="135"/>
      <c r="E37" s="135"/>
      <c r="F37" s="135"/>
      <c r="G37" s="135"/>
      <c r="H37" s="160"/>
      <c r="I37" s="160"/>
      <c r="J37" s="135"/>
      <c r="K37" s="135"/>
      <c r="L37" s="135"/>
      <c r="M37" s="135"/>
      <c r="N37" s="135"/>
      <c r="O37" s="160"/>
      <c r="P37" s="160"/>
      <c r="Q37" s="135"/>
      <c r="R37" s="135"/>
      <c r="S37" s="135"/>
      <c r="T37" s="135"/>
      <c r="U37" s="135"/>
      <c r="V37" s="160"/>
      <c r="W37" s="160"/>
      <c r="X37" s="135"/>
      <c r="Y37" s="135"/>
      <c r="Z37" s="135"/>
      <c r="AA37" s="135"/>
      <c r="AB37" s="135"/>
      <c r="AC37" s="160"/>
      <c r="AD37" s="160"/>
      <c r="AE37" s="168"/>
      <c r="AF37" s="168"/>
      <c r="AG37" s="168"/>
      <c r="AH37" s="166"/>
      <c r="AI37" s="135"/>
      <c r="AJ37" s="160"/>
      <c r="AK37" s="160"/>
      <c r="AL37" s="135"/>
      <c r="AM37" s="176"/>
      <c r="AN37" s="176"/>
      <c r="AO37" s="176"/>
      <c r="AP37" s="135"/>
      <c r="AQ37" s="160"/>
      <c r="AR37" s="160"/>
      <c r="AS37" s="55"/>
      <c r="AT37" s="55"/>
      <c r="AU37" s="55"/>
      <c r="AV37" s="55"/>
      <c r="AW37" s="55"/>
      <c r="AX37" s="159"/>
      <c r="AY37" s="159"/>
      <c r="AZ37" s="55"/>
      <c r="BA37" s="55"/>
      <c r="BB37" s="55"/>
      <c r="BC37" s="55"/>
      <c r="BD37" s="55"/>
      <c r="BE37" s="159"/>
      <c r="BF37" s="159"/>
      <c r="BG37" s="175"/>
      <c r="BH37" s="157"/>
      <c r="BI37" s="157"/>
      <c r="BJ37" s="173"/>
      <c r="BK37" s="172"/>
      <c r="BL37" s="159"/>
      <c r="BM37" s="159"/>
      <c r="BN37" s="176"/>
      <c r="BO37" s="169"/>
      <c r="BP37" s="55"/>
      <c r="BQ37" s="55"/>
      <c r="BR37" s="55"/>
      <c r="BS37" s="159"/>
      <c r="BT37" s="159"/>
      <c r="BU37" s="55"/>
      <c r="BV37" s="55"/>
      <c r="BW37" s="55"/>
      <c r="BX37" s="55"/>
      <c r="BY37" s="55"/>
      <c r="BZ37" s="159"/>
      <c r="CA37" s="159"/>
      <c r="CB37" s="55"/>
      <c r="CC37" s="55"/>
      <c r="CD37" s="55"/>
      <c r="CE37" s="55"/>
      <c r="CF37" s="55"/>
      <c r="CG37" s="159"/>
      <c r="CH37" s="159"/>
      <c r="CI37" s="156"/>
      <c r="CJ37" s="156"/>
      <c r="CK37" s="156"/>
      <c r="CL37" s="156"/>
      <c r="CM37" s="156"/>
      <c r="CN37" s="155"/>
      <c r="CO37" s="155"/>
      <c r="CP37" s="156"/>
      <c r="CQ37" s="156"/>
      <c r="CR37" s="156"/>
      <c r="CS37" s="156"/>
      <c r="CT37" s="156"/>
      <c r="CU37" s="155"/>
      <c r="CV37" s="155"/>
      <c r="CW37" s="156"/>
      <c r="CX37" s="156"/>
      <c r="CY37" s="156"/>
      <c r="CZ37" s="156"/>
      <c r="DA37" s="156"/>
      <c r="DB37" s="155"/>
      <c r="DC37" s="155"/>
      <c r="DD37" s="156"/>
      <c r="DE37" s="156"/>
      <c r="DF37" s="156"/>
      <c r="DG37" s="156"/>
      <c r="DH37" s="156"/>
      <c r="DI37" s="155"/>
      <c r="DJ37" s="155"/>
      <c r="DK37" s="156"/>
      <c r="DL37" s="156"/>
      <c r="DM37" s="156"/>
      <c r="DN37" s="156"/>
      <c r="DO37" s="156"/>
      <c r="DP37" s="155"/>
      <c r="DQ37" s="155"/>
      <c r="DR37" s="156"/>
      <c r="DS37" s="156"/>
      <c r="DT37" s="156"/>
      <c r="DU37" s="156"/>
      <c r="DV37" s="156"/>
    </row>
    <row r="38" ht="15.75" customHeight="1">
      <c r="A38" s="146"/>
      <c r="B38" s="165" t="s">
        <v>217</v>
      </c>
      <c r="C38" s="135"/>
      <c r="D38" s="135"/>
      <c r="E38" s="135"/>
      <c r="F38" s="135"/>
      <c r="G38" s="135"/>
      <c r="H38" s="160"/>
      <c r="I38" s="160"/>
      <c r="J38" s="135"/>
      <c r="K38" s="135"/>
      <c r="L38" s="135"/>
      <c r="M38" s="135"/>
      <c r="N38" s="135"/>
      <c r="O38" s="160"/>
      <c r="P38" s="160"/>
      <c r="Q38" s="135"/>
      <c r="R38" s="135"/>
      <c r="S38" s="135"/>
      <c r="T38" s="135"/>
      <c r="U38" s="135"/>
      <c r="V38" s="160"/>
      <c r="W38" s="160"/>
      <c r="X38" s="135"/>
      <c r="Y38" s="135"/>
      <c r="Z38" s="135"/>
      <c r="AA38" s="135"/>
      <c r="AB38" s="135"/>
      <c r="AC38" s="160"/>
      <c r="AD38" s="160"/>
      <c r="AE38" s="168"/>
      <c r="AF38" s="168"/>
      <c r="AG38" s="168"/>
      <c r="AH38" s="166"/>
      <c r="AI38" s="135"/>
      <c r="AJ38" s="160"/>
      <c r="AK38" s="160"/>
      <c r="AL38" s="135"/>
      <c r="AM38" s="176"/>
      <c r="AN38" s="176"/>
      <c r="AO38" s="176"/>
      <c r="AP38" s="135"/>
      <c r="AQ38" s="160"/>
      <c r="AR38" s="160"/>
      <c r="AS38" s="55"/>
      <c r="AT38" s="55"/>
      <c r="AU38" s="55"/>
      <c r="AV38" s="175"/>
      <c r="AW38" s="175"/>
      <c r="AX38" s="159"/>
      <c r="AY38" s="159"/>
      <c r="AZ38" s="175"/>
      <c r="BA38" s="55"/>
      <c r="BB38" s="55"/>
      <c r="BC38" s="55"/>
      <c r="BD38" s="55"/>
      <c r="BE38" s="159"/>
      <c r="BF38" s="159"/>
      <c r="BG38" s="157"/>
      <c r="BH38" s="157"/>
      <c r="BI38" s="157"/>
      <c r="BJ38" s="173"/>
      <c r="BK38" s="172"/>
      <c r="BL38" s="159"/>
      <c r="BM38" s="159"/>
      <c r="BN38" s="176"/>
      <c r="BO38" s="169"/>
      <c r="BP38" s="55"/>
      <c r="BQ38" s="55"/>
      <c r="BR38" s="55"/>
      <c r="BS38" s="159"/>
      <c r="BT38" s="159"/>
      <c r="BU38" s="55"/>
      <c r="BV38" s="55"/>
      <c r="BW38" s="55"/>
      <c r="BX38" s="55"/>
      <c r="BY38" s="55"/>
      <c r="BZ38" s="159"/>
      <c r="CA38" s="159"/>
      <c r="CB38" s="55"/>
      <c r="CC38" s="55"/>
      <c r="CD38" s="55"/>
      <c r="CE38" s="55"/>
      <c r="CF38" s="55"/>
      <c r="CG38" s="159"/>
      <c r="CH38" s="159"/>
      <c r="CI38" s="156"/>
      <c r="CJ38" s="156"/>
      <c r="CK38" s="156"/>
      <c r="CL38" s="156"/>
      <c r="CM38" s="156"/>
      <c r="CN38" s="155"/>
      <c r="CO38" s="155"/>
      <c r="CP38" s="156"/>
      <c r="CQ38" s="156"/>
      <c r="CR38" s="156"/>
      <c r="CS38" s="156"/>
      <c r="CT38" s="156"/>
      <c r="CU38" s="155"/>
      <c r="CV38" s="155"/>
      <c r="CW38" s="156"/>
      <c r="CX38" s="156"/>
      <c r="CY38" s="156"/>
      <c r="CZ38" s="156"/>
      <c r="DA38" s="156"/>
      <c r="DB38" s="155"/>
      <c r="DC38" s="155"/>
      <c r="DD38" s="156"/>
      <c r="DE38" s="156"/>
      <c r="DF38" s="156"/>
      <c r="DG38" s="156"/>
      <c r="DH38" s="156"/>
      <c r="DI38" s="155"/>
      <c r="DJ38" s="155"/>
      <c r="DK38" s="156"/>
      <c r="DL38" s="156"/>
      <c r="DM38" s="156"/>
      <c r="DN38" s="156"/>
      <c r="DO38" s="156"/>
      <c r="DP38" s="155"/>
      <c r="DQ38" s="155"/>
      <c r="DR38" s="156"/>
      <c r="DS38" s="156"/>
      <c r="DT38" s="156"/>
      <c r="DU38" s="156"/>
      <c r="DV38" s="156"/>
    </row>
    <row r="39" ht="15.75" customHeight="1">
      <c r="A39" s="146"/>
      <c r="B39" s="165" t="s">
        <v>218</v>
      </c>
      <c r="C39" s="135"/>
      <c r="D39" s="135"/>
      <c r="E39" s="135"/>
      <c r="F39" s="135"/>
      <c r="G39" s="135"/>
      <c r="H39" s="160"/>
      <c r="I39" s="160"/>
      <c r="J39" s="135"/>
      <c r="K39" s="135"/>
      <c r="L39" s="135"/>
      <c r="M39" s="135"/>
      <c r="N39" s="135"/>
      <c r="O39" s="160"/>
      <c r="P39" s="160"/>
      <c r="Q39" s="135"/>
      <c r="R39" s="135"/>
      <c r="S39" s="135"/>
      <c r="T39" s="135"/>
      <c r="U39" s="135"/>
      <c r="V39" s="160"/>
      <c r="W39" s="160"/>
      <c r="X39" s="135"/>
      <c r="Y39" s="135"/>
      <c r="Z39" s="135"/>
      <c r="AA39" s="135"/>
      <c r="AB39" s="135"/>
      <c r="AC39" s="160"/>
      <c r="AD39" s="160"/>
      <c r="AE39" s="168"/>
      <c r="AF39" s="168"/>
      <c r="AG39" s="168"/>
      <c r="AH39" s="166"/>
      <c r="AI39" s="135"/>
      <c r="AJ39" s="160"/>
      <c r="AK39" s="160"/>
      <c r="AL39" s="135"/>
      <c r="AM39" s="176"/>
      <c r="AN39" s="176"/>
      <c r="AO39" s="176"/>
      <c r="AP39" s="135"/>
      <c r="AQ39" s="160"/>
      <c r="AR39" s="160"/>
      <c r="AS39" s="55"/>
      <c r="AT39" s="55"/>
      <c r="AU39" s="55"/>
      <c r="AV39" s="55"/>
      <c r="AW39" s="55"/>
      <c r="AX39" s="159"/>
      <c r="AY39" s="159"/>
      <c r="AZ39" s="55"/>
      <c r="BA39" s="55"/>
      <c r="BB39" s="55"/>
      <c r="BC39" s="55"/>
      <c r="BD39" s="55"/>
      <c r="BE39" s="159"/>
      <c r="BF39" s="159"/>
      <c r="BG39" s="157"/>
      <c r="BH39" s="175"/>
      <c r="BI39" s="157"/>
      <c r="BJ39" s="173"/>
      <c r="BK39" s="172"/>
      <c r="BL39" s="159"/>
      <c r="BM39" s="159"/>
      <c r="BN39" s="176"/>
      <c r="BO39" s="169"/>
      <c r="BP39" s="55"/>
      <c r="BQ39" s="55"/>
      <c r="BR39" s="55"/>
      <c r="BS39" s="159"/>
      <c r="BT39" s="159"/>
      <c r="BU39" s="55"/>
      <c r="BV39" s="55"/>
      <c r="BW39" s="55"/>
      <c r="BX39" s="55"/>
      <c r="BY39" s="55"/>
      <c r="BZ39" s="159"/>
      <c r="CA39" s="159"/>
      <c r="CB39" s="55"/>
      <c r="CC39" s="55"/>
      <c r="CD39" s="55"/>
      <c r="CE39" s="55"/>
      <c r="CF39" s="55"/>
      <c r="CG39" s="159"/>
      <c r="CH39" s="159"/>
      <c r="CI39" s="156"/>
      <c r="CJ39" s="156"/>
      <c r="CK39" s="156"/>
      <c r="CL39" s="156"/>
      <c r="CM39" s="156"/>
      <c r="CN39" s="155"/>
      <c r="CO39" s="155"/>
      <c r="CP39" s="156"/>
      <c r="CQ39" s="156"/>
      <c r="CR39" s="156"/>
      <c r="CS39" s="156"/>
      <c r="CT39" s="156"/>
      <c r="CU39" s="155"/>
      <c r="CV39" s="155"/>
      <c r="CW39" s="156"/>
      <c r="CX39" s="156"/>
      <c r="CY39" s="156"/>
      <c r="CZ39" s="156"/>
      <c r="DA39" s="156"/>
      <c r="DB39" s="155"/>
      <c r="DC39" s="155"/>
      <c r="DD39" s="156"/>
      <c r="DE39" s="156"/>
      <c r="DF39" s="156"/>
      <c r="DG39" s="156"/>
      <c r="DH39" s="156"/>
      <c r="DI39" s="155"/>
      <c r="DJ39" s="155"/>
      <c r="DK39" s="156"/>
      <c r="DL39" s="156"/>
      <c r="DM39" s="156"/>
      <c r="DN39" s="156"/>
      <c r="DO39" s="156"/>
      <c r="DP39" s="155"/>
      <c r="DQ39" s="155"/>
      <c r="DR39" s="156"/>
      <c r="DS39" s="156"/>
      <c r="DT39" s="156"/>
      <c r="DU39" s="156"/>
      <c r="DV39" s="156"/>
    </row>
    <row r="40" ht="15.75" customHeight="1">
      <c r="A40" s="146"/>
      <c r="B40" s="165" t="s">
        <v>219</v>
      </c>
      <c r="C40" s="135"/>
      <c r="D40" s="135"/>
      <c r="E40" s="135"/>
      <c r="F40" s="135"/>
      <c r="G40" s="135"/>
      <c r="H40" s="160"/>
      <c r="I40" s="160"/>
      <c r="J40" s="135"/>
      <c r="K40" s="135"/>
      <c r="L40" s="135"/>
      <c r="M40" s="135"/>
      <c r="N40" s="135"/>
      <c r="O40" s="160"/>
      <c r="P40" s="160"/>
      <c r="Q40" s="135"/>
      <c r="R40" s="135"/>
      <c r="S40" s="135"/>
      <c r="T40" s="135"/>
      <c r="U40" s="135"/>
      <c r="V40" s="160"/>
      <c r="W40" s="160"/>
      <c r="X40" s="135"/>
      <c r="Y40" s="135"/>
      <c r="Z40" s="135"/>
      <c r="AA40" s="135"/>
      <c r="AB40" s="135"/>
      <c r="AC40" s="160"/>
      <c r="AD40" s="160"/>
      <c r="AE40" s="168"/>
      <c r="AF40" s="168"/>
      <c r="AG40" s="168"/>
      <c r="AH40" s="166"/>
      <c r="AI40" s="135"/>
      <c r="AJ40" s="160"/>
      <c r="AK40" s="160"/>
      <c r="AL40" s="135"/>
      <c r="AM40" s="176"/>
      <c r="AN40" s="176"/>
      <c r="AO40" s="176"/>
      <c r="AP40" s="135"/>
      <c r="AQ40" s="160"/>
      <c r="AR40" s="160"/>
      <c r="AS40" s="55"/>
      <c r="AT40" s="55"/>
      <c r="AU40" s="55"/>
      <c r="AV40" s="55"/>
      <c r="AW40" s="55"/>
      <c r="AX40" s="159"/>
      <c r="AY40" s="159"/>
      <c r="AZ40" s="55"/>
      <c r="BA40" s="55"/>
      <c r="BB40" s="55"/>
      <c r="BC40" s="55"/>
      <c r="BD40" s="55"/>
      <c r="BE40" s="159"/>
      <c r="BF40" s="159"/>
      <c r="BG40" s="157"/>
      <c r="BH40" s="157"/>
      <c r="BI40" s="175"/>
      <c r="BJ40" s="175"/>
      <c r="BK40" s="172"/>
      <c r="BL40" s="159"/>
      <c r="BM40" s="159"/>
      <c r="BN40" s="176"/>
      <c r="BO40" s="169"/>
      <c r="BP40" s="55"/>
      <c r="BQ40" s="55"/>
      <c r="BR40" s="55"/>
      <c r="BS40" s="159"/>
      <c r="BT40" s="159"/>
      <c r="BU40" s="55"/>
      <c r="BV40" s="55"/>
      <c r="BW40" s="55"/>
      <c r="BX40" s="55"/>
      <c r="BY40" s="55"/>
      <c r="BZ40" s="159"/>
      <c r="CA40" s="159"/>
      <c r="CB40" s="55"/>
      <c r="CC40" s="55"/>
      <c r="CD40" s="55"/>
      <c r="CE40" s="55"/>
      <c r="CF40" s="55"/>
      <c r="CG40" s="159"/>
      <c r="CH40" s="159"/>
      <c r="CI40" s="156"/>
      <c r="CJ40" s="156"/>
      <c r="CK40" s="156"/>
      <c r="CL40" s="156"/>
      <c r="CM40" s="156"/>
      <c r="CN40" s="155"/>
      <c r="CO40" s="155"/>
      <c r="CP40" s="156"/>
      <c r="CQ40" s="156"/>
      <c r="CR40" s="156"/>
      <c r="CS40" s="156"/>
      <c r="CT40" s="156"/>
      <c r="CU40" s="155"/>
      <c r="CV40" s="155"/>
      <c r="CW40" s="156"/>
      <c r="CX40" s="156"/>
      <c r="CY40" s="156"/>
      <c r="CZ40" s="156"/>
      <c r="DA40" s="156"/>
      <c r="DB40" s="155"/>
      <c r="DC40" s="155"/>
      <c r="DD40" s="156"/>
      <c r="DE40" s="156"/>
      <c r="DF40" s="156"/>
      <c r="DG40" s="156"/>
      <c r="DH40" s="156"/>
      <c r="DI40" s="155"/>
      <c r="DJ40" s="155"/>
      <c r="DK40" s="156"/>
      <c r="DL40" s="156"/>
      <c r="DM40" s="156"/>
      <c r="DN40" s="156"/>
      <c r="DO40" s="156"/>
      <c r="DP40" s="155"/>
      <c r="DQ40" s="155"/>
      <c r="DR40" s="156"/>
      <c r="DS40" s="156"/>
      <c r="DT40" s="156"/>
      <c r="DU40" s="156"/>
      <c r="DV40" s="156"/>
    </row>
    <row r="41" ht="15.75" customHeight="1">
      <c r="A41" s="146"/>
      <c r="B41" s="165" t="s">
        <v>220</v>
      </c>
      <c r="C41" s="135"/>
      <c r="D41" s="135"/>
      <c r="E41" s="135"/>
      <c r="F41" s="135"/>
      <c r="G41" s="135"/>
      <c r="H41" s="160"/>
      <c r="I41" s="160"/>
      <c r="J41" s="135"/>
      <c r="K41" s="135"/>
      <c r="L41" s="135"/>
      <c r="M41" s="135"/>
      <c r="N41" s="135"/>
      <c r="O41" s="160"/>
      <c r="P41" s="160"/>
      <c r="Q41" s="135"/>
      <c r="R41" s="135"/>
      <c r="S41" s="135"/>
      <c r="T41" s="135"/>
      <c r="U41" s="135"/>
      <c r="V41" s="160"/>
      <c r="W41" s="160"/>
      <c r="X41" s="135"/>
      <c r="Y41" s="135"/>
      <c r="Z41" s="135"/>
      <c r="AA41" s="135"/>
      <c r="AB41" s="135"/>
      <c r="AC41" s="160"/>
      <c r="AD41" s="160"/>
      <c r="AE41" s="168"/>
      <c r="AF41" s="168"/>
      <c r="AG41" s="168"/>
      <c r="AH41" s="166"/>
      <c r="AI41" s="135"/>
      <c r="AJ41" s="160"/>
      <c r="AK41" s="160"/>
      <c r="AL41" s="135"/>
      <c r="AM41" s="176"/>
      <c r="AN41" s="176"/>
      <c r="AO41" s="176"/>
      <c r="AP41" s="135"/>
      <c r="AQ41" s="160"/>
      <c r="AR41" s="160"/>
      <c r="AS41" s="55"/>
      <c r="AT41" s="55"/>
      <c r="AU41" s="55"/>
      <c r="AV41" s="55"/>
      <c r="AW41" s="55"/>
      <c r="AX41" s="159"/>
      <c r="AY41" s="159"/>
      <c r="AZ41" s="55"/>
      <c r="BA41" s="55"/>
      <c r="BB41" s="55"/>
      <c r="BC41" s="55"/>
      <c r="BD41" s="55"/>
      <c r="BE41" s="159"/>
      <c r="BF41" s="159"/>
      <c r="BG41" s="157"/>
      <c r="BH41" s="157"/>
      <c r="BI41" s="157"/>
      <c r="BJ41" s="173"/>
      <c r="BK41" s="172"/>
      <c r="BL41" s="159"/>
      <c r="BM41" s="159"/>
      <c r="BN41" s="176"/>
      <c r="BO41" s="169"/>
      <c r="BP41" s="55"/>
      <c r="BQ41" s="55"/>
      <c r="BR41" s="55"/>
      <c r="BS41" s="159"/>
      <c r="BT41" s="159"/>
      <c r="BU41" s="55"/>
      <c r="BV41" s="55"/>
      <c r="BW41" s="55"/>
      <c r="BX41" s="177"/>
      <c r="BY41" s="177"/>
      <c r="BZ41" s="159"/>
      <c r="CA41" s="159"/>
      <c r="CB41" s="177"/>
      <c r="CC41" s="55"/>
      <c r="CD41" s="55"/>
      <c r="CE41" s="55"/>
      <c r="CF41" s="55"/>
      <c r="CG41" s="159"/>
      <c r="CH41" s="159"/>
      <c r="CI41" s="156"/>
      <c r="CJ41" s="156"/>
      <c r="CK41" s="156"/>
      <c r="CL41" s="156"/>
      <c r="CM41" s="156"/>
      <c r="CN41" s="155"/>
      <c r="CO41" s="155"/>
      <c r="CP41" s="156"/>
      <c r="CQ41" s="156"/>
      <c r="CR41" s="156"/>
      <c r="CS41" s="156"/>
      <c r="CT41" s="156"/>
      <c r="CU41" s="155"/>
      <c r="CV41" s="155"/>
      <c r="CW41" s="156"/>
      <c r="CX41" s="156"/>
      <c r="CY41" s="156"/>
      <c r="CZ41" s="156"/>
      <c r="DA41" s="156"/>
      <c r="DB41" s="155"/>
      <c r="DC41" s="155"/>
      <c r="DD41" s="156"/>
      <c r="DE41" s="156"/>
      <c r="DF41" s="156"/>
      <c r="DG41" s="156"/>
      <c r="DH41" s="156"/>
      <c r="DI41" s="155"/>
      <c r="DJ41" s="155"/>
      <c r="DK41" s="156"/>
      <c r="DL41" s="156"/>
      <c r="DM41" s="156"/>
      <c r="DN41" s="156"/>
      <c r="DO41" s="156"/>
      <c r="DP41" s="155"/>
      <c r="DQ41" s="155"/>
      <c r="DR41" s="156"/>
      <c r="DS41" s="156"/>
      <c r="DT41" s="156"/>
      <c r="DU41" s="156"/>
      <c r="DV41" s="156"/>
    </row>
    <row r="42" ht="15.75" customHeight="1">
      <c r="A42" s="146"/>
      <c r="B42" s="165" t="s">
        <v>221</v>
      </c>
      <c r="C42" s="135"/>
      <c r="D42" s="135"/>
      <c r="E42" s="135"/>
      <c r="F42" s="135"/>
      <c r="G42" s="135"/>
      <c r="H42" s="160"/>
      <c r="I42" s="160"/>
      <c r="J42" s="135"/>
      <c r="K42" s="135"/>
      <c r="L42" s="135"/>
      <c r="M42" s="135"/>
      <c r="N42" s="135"/>
      <c r="O42" s="160"/>
      <c r="P42" s="160"/>
      <c r="Q42" s="135"/>
      <c r="R42" s="135"/>
      <c r="S42" s="135"/>
      <c r="T42" s="135"/>
      <c r="U42" s="135"/>
      <c r="V42" s="160"/>
      <c r="W42" s="160"/>
      <c r="X42" s="135"/>
      <c r="Y42" s="135"/>
      <c r="Z42" s="135"/>
      <c r="AA42" s="135"/>
      <c r="AB42" s="135"/>
      <c r="AC42" s="160"/>
      <c r="AD42" s="160"/>
      <c r="AE42" s="168"/>
      <c r="AF42" s="168"/>
      <c r="AG42" s="168"/>
      <c r="AH42" s="166"/>
      <c r="AI42" s="135"/>
      <c r="AJ42" s="160"/>
      <c r="AK42" s="160"/>
      <c r="AL42" s="135"/>
      <c r="AM42" s="176"/>
      <c r="AN42" s="176"/>
      <c r="AO42" s="176"/>
      <c r="AP42" s="135"/>
      <c r="AQ42" s="160"/>
      <c r="AR42" s="160"/>
      <c r="AS42" s="55"/>
      <c r="AT42" s="55"/>
      <c r="AU42" s="55"/>
      <c r="AV42" s="55"/>
      <c r="AW42" s="55"/>
      <c r="AX42" s="159"/>
      <c r="AY42" s="159"/>
      <c r="AZ42" s="55"/>
      <c r="BA42" s="55"/>
      <c r="BB42" s="55"/>
      <c r="BC42" s="55"/>
      <c r="BD42" s="55"/>
      <c r="BE42" s="159"/>
      <c r="BF42" s="159"/>
      <c r="BG42" s="157"/>
      <c r="BH42" s="157"/>
      <c r="BI42" s="157"/>
      <c r="BJ42" s="173"/>
      <c r="BK42" s="172"/>
      <c r="BL42" s="159"/>
      <c r="BM42" s="159"/>
      <c r="BN42" s="176"/>
      <c r="BO42" s="169"/>
      <c r="BP42" s="55"/>
      <c r="BQ42" s="55"/>
      <c r="BR42" s="55"/>
      <c r="BS42" s="159"/>
      <c r="BT42" s="159"/>
      <c r="BU42" s="55"/>
      <c r="BV42" s="55"/>
      <c r="BW42" s="55"/>
      <c r="BX42" s="55"/>
      <c r="BY42" s="55"/>
      <c r="BZ42" s="159"/>
      <c r="CA42" s="159"/>
      <c r="CB42" s="55"/>
      <c r="CC42" s="55"/>
      <c r="CD42" s="177"/>
      <c r="CE42" s="177"/>
      <c r="CF42" s="55"/>
      <c r="CG42" s="159"/>
      <c r="CH42" s="159"/>
      <c r="CI42" s="156"/>
      <c r="CJ42" s="156"/>
      <c r="CK42" s="156"/>
      <c r="CL42" s="156"/>
      <c r="CM42" s="156"/>
      <c r="CN42" s="155"/>
      <c r="CO42" s="155"/>
      <c r="CP42" s="156"/>
      <c r="CQ42" s="156"/>
      <c r="CR42" s="156"/>
      <c r="CS42" s="156"/>
      <c r="CT42" s="156"/>
      <c r="CU42" s="155"/>
      <c r="CV42" s="155"/>
      <c r="CW42" s="156"/>
      <c r="CX42" s="156"/>
      <c r="CY42" s="156"/>
      <c r="CZ42" s="156"/>
      <c r="DA42" s="156"/>
      <c r="DB42" s="155"/>
      <c r="DC42" s="155"/>
      <c r="DD42" s="156"/>
      <c r="DE42" s="156"/>
      <c r="DF42" s="156"/>
      <c r="DG42" s="156"/>
      <c r="DH42" s="156"/>
      <c r="DI42" s="155"/>
      <c r="DJ42" s="155"/>
      <c r="DK42" s="156"/>
      <c r="DL42" s="156"/>
      <c r="DM42" s="156"/>
      <c r="DN42" s="156"/>
      <c r="DO42" s="156"/>
      <c r="DP42" s="155"/>
      <c r="DQ42" s="155"/>
      <c r="DR42" s="156"/>
      <c r="DS42" s="156"/>
      <c r="DT42" s="156"/>
      <c r="DU42" s="156"/>
      <c r="DV42" s="156"/>
    </row>
    <row r="43" ht="15.75" customHeight="1">
      <c r="A43" s="146"/>
      <c r="B43" s="165" t="s">
        <v>222</v>
      </c>
      <c r="C43" s="135"/>
      <c r="D43" s="135"/>
      <c r="E43" s="135"/>
      <c r="F43" s="135"/>
      <c r="G43" s="135"/>
      <c r="H43" s="160"/>
      <c r="I43" s="160"/>
      <c r="J43" s="135"/>
      <c r="K43" s="135"/>
      <c r="L43" s="135"/>
      <c r="M43" s="135"/>
      <c r="N43" s="135"/>
      <c r="O43" s="160"/>
      <c r="P43" s="160"/>
      <c r="Q43" s="135"/>
      <c r="R43" s="135"/>
      <c r="S43" s="135"/>
      <c r="T43" s="135"/>
      <c r="U43" s="135"/>
      <c r="V43" s="160"/>
      <c r="W43" s="160"/>
      <c r="X43" s="135"/>
      <c r="Y43" s="135"/>
      <c r="Z43" s="135"/>
      <c r="AA43" s="135"/>
      <c r="AB43" s="135"/>
      <c r="AC43" s="160"/>
      <c r="AD43" s="160"/>
      <c r="AE43" s="168"/>
      <c r="AF43" s="168"/>
      <c r="AG43" s="168"/>
      <c r="AH43" s="166"/>
      <c r="AI43" s="135"/>
      <c r="AJ43" s="160"/>
      <c r="AK43" s="160"/>
      <c r="AL43" s="135"/>
      <c r="AM43" s="176"/>
      <c r="AN43" s="176"/>
      <c r="AO43" s="176"/>
      <c r="AP43" s="135"/>
      <c r="AQ43" s="160"/>
      <c r="AR43" s="160"/>
      <c r="AS43" s="55"/>
      <c r="AT43" s="55"/>
      <c r="AU43" s="55"/>
      <c r="AV43" s="55"/>
      <c r="AW43" s="55"/>
      <c r="AX43" s="159"/>
      <c r="AY43" s="159"/>
      <c r="AZ43" s="55"/>
      <c r="BA43" s="175"/>
      <c r="BB43" s="175"/>
      <c r="BC43" s="55"/>
      <c r="BD43" s="55"/>
      <c r="BE43" s="159"/>
      <c r="BF43" s="159"/>
      <c r="BG43" s="157"/>
      <c r="BH43" s="157"/>
      <c r="BI43" s="157"/>
      <c r="BJ43" s="173"/>
      <c r="BK43" s="172"/>
      <c r="BL43" s="159"/>
      <c r="BM43" s="159"/>
      <c r="BN43" s="176"/>
      <c r="BO43" s="169"/>
      <c r="BP43" s="55"/>
      <c r="BQ43" s="55"/>
      <c r="BR43" s="55"/>
      <c r="BS43" s="159"/>
      <c r="BT43" s="159"/>
      <c r="BU43" s="55"/>
      <c r="BV43" s="55"/>
      <c r="BW43" s="55"/>
      <c r="BX43" s="55"/>
      <c r="BY43" s="55"/>
      <c r="BZ43" s="159"/>
      <c r="CA43" s="159"/>
      <c r="CB43" s="55"/>
      <c r="CC43" s="55"/>
      <c r="CD43" s="55"/>
      <c r="CE43" s="55"/>
      <c r="CF43" s="55"/>
      <c r="CG43" s="159"/>
      <c r="CH43" s="159"/>
      <c r="CI43" s="156"/>
      <c r="CJ43" s="156"/>
      <c r="CK43" s="156"/>
      <c r="CL43" s="156"/>
      <c r="CM43" s="156"/>
      <c r="CN43" s="155"/>
      <c r="CO43" s="155"/>
      <c r="CP43" s="156"/>
      <c r="CQ43" s="156"/>
      <c r="CR43" s="156"/>
      <c r="CS43" s="156"/>
      <c r="CT43" s="156"/>
      <c r="CU43" s="155"/>
      <c r="CV43" s="155"/>
      <c r="CW43" s="156"/>
      <c r="CX43" s="156"/>
      <c r="CY43" s="156"/>
      <c r="CZ43" s="156"/>
      <c r="DA43" s="156"/>
      <c r="DB43" s="155"/>
      <c r="DC43" s="155"/>
      <c r="DD43" s="156"/>
      <c r="DE43" s="156"/>
      <c r="DF43" s="156"/>
      <c r="DG43" s="156"/>
      <c r="DH43" s="156"/>
      <c r="DI43" s="155"/>
      <c r="DJ43" s="155"/>
      <c r="DK43" s="156"/>
      <c r="DL43" s="156"/>
      <c r="DM43" s="156"/>
      <c r="DN43" s="156"/>
      <c r="DO43" s="156"/>
      <c r="DP43" s="155"/>
      <c r="DQ43" s="155"/>
      <c r="DR43" s="156"/>
      <c r="DS43" s="156"/>
      <c r="DT43" s="156"/>
      <c r="DU43" s="156"/>
      <c r="DV43" s="156"/>
    </row>
    <row r="44" ht="15.75" customHeight="1">
      <c r="A44" s="146"/>
      <c r="B44" s="165" t="s">
        <v>223</v>
      </c>
      <c r="C44" s="135"/>
      <c r="D44" s="135"/>
      <c r="E44" s="135"/>
      <c r="F44" s="135"/>
      <c r="G44" s="135"/>
      <c r="H44" s="160"/>
      <c r="I44" s="160"/>
      <c r="J44" s="135"/>
      <c r="K44" s="135"/>
      <c r="L44" s="135"/>
      <c r="M44" s="135"/>
      <c r="N44" s="135"/>
      <c r="O44" s="160"/>
      <c r="P44" s="160"/>
      <c r="Q44" s="135"/>
      <c r="R44" s="135"/>
      <c r="S44" s="135"/>
      <c r="T44" s="135"/>
      <c r="U44" s="135"/>
      <c r="V44" s="160"/>
      <c r="W44" s="160"/>
      <c r="X44" s="135"/>
      <c r="Y44" s="135"/>
      <c r="Z44" s="135"/>
      <c r="AA44" s="135"/>
      <c r="AB44" s="135"/>
      <c r="AC44" s="160"/>
      <c r="AD44" s="160"/>
      <c r="AE44" s="168"/>
      <c r="AF44" s="168"/>
      <c r="AG44" s="168"/>
      <c r="AH44" s="166"/>
      <c r="AI44" s="135"/>
      <c r="AJ44" s="160"/>
      <c r="AK44" s="160"/>
      <c r="AL44" s="135"/>
      <c r="AM44" s="176"/>
      <c r="AN44" s="176"/>
      <c r="AO44" s="176"/>
      <c r="AP44" s="135"/>
      <c r="AQ44" s="160"/>
      <c r="AR44" s="160"/>
      <c r="AS44" s="55"/>
      <c r="AT44" s="55"/>
      <c r="AU44" s="55"/>
      <c r="AV44" s="55"/>
      <c r="AW44" s="55"/>
      <c r="AX44" s="159"/>
      <c r="AY44" s="159"/>
      <c r="AZ44" s="55"/>
      <c r="BA44" s="55"/>
      <c r="BB44" s="55"/>
      <c r="BC44" s="55"/>
      <c r="BD44" s="55"/>
      <c r="BE44" s="159"/>
      <c r="BF44" s="159"/>
      <c r="BG44" s="157"/>
      <c r="BH44" s="157"/>
      <c r="BI44" s="157"/>
      <c r="BJ44" s="173"/>
      <c r="BK44" s="172"/>
      <c r="BL44" s="159"/>
      <c r="BM44" s="159"/>
      <c r="BN44" s="175"/>
      <c r="BO44" s="175"/>
      <c r="BP44" s="153"/>
      <c r="BQ44" s="55"/>
      <c r="BR44" s="55"/>
      <c r="BS44" s="159"/>
      <c r="BT44" s="159"/>
      <c r="BU44" s="55"/>
      <c r="BV44" s="55"/>
      <c r="BW44" s="55"/>
      <c r="BX44" s="55"/>
      <c r="BY44" s="55"/>
      <c r="BZ44" s="159"/>
      <c r="CA44" s="159"/>
      <c r="CB44" s="55"/>
      <c r="CC44" s="55"/>
      <c r="CD44" s="55"/>
      <c r="CE44" s="55"/>
      <c r="CF44" s="55"/>
      <c r="CG44" s="159"/>
      <c r="CH44" s="159"/>
      <c r="CI44" s="156"/>
      <c r="CJ44" s="156"/>
      <c r="CK44" s="156"/>
      <c r="CL44" s="156"/>
      <c r="CM44" s="156"/>
      <c r="CN44" s="155"/>
      <c r="CO44" s="155"/>
      <c r="CP44" s="156"/>
      <c r="CQ44" s="156"/>
      <c r="CR44" s="156"/>
      <c r="CS44" s="156"/>
      <c r="CT44" s="156"/>
      <c r="CU44" s="155"/>
      <c r="CV44" s="155"/>
      <c r="CW44" s="156"/>
      <c r="CX44" s="156"/>
      <c r="CY44" s="156"/>
      <c r="CZ44" s="156"/>
      <c r="DA44" s="156"/>
      <c r="DB44" s="155"/>
      <c r="DC44" s="155"/>
      <c r="DD44" s="156"/>
      <c r="DE44" s="156"/>
      <c r="DF44" s="156"/>
      <c r="DG44" s="156"/>
      <c r="DH44" s="156"/>
      <c r="DI44" s="155"/>
      <c r="DJ44" s="155"/>
      <c r="DK44" s="156"/>
      <c r="DL44" s="156"/>
      <c r="DM44" s="156"/>
      <c r="DN44" s="156"/>
      <c r="DO44" s="156"/>
      <c r="DP44" s="155"/>
      <c r="DQ44" s="155"/>
      <c r="DR44" s="156"/>
      <c r="DS44" s="156"/>
      <c r="DT44" s="156"/>
      <c r="DU44" s="156"/>
      <c r="DV44" s="156"/>
    </row>
    <row r="45" ht="15.75" customHeight="1">
      <c r="A45" s="146"/>
      <c r="B45" s="165" t="s">
        <v>224</v>
      </c>
      <c r="C45" s="135"/>
      <c r="D45" s="135"/>
      <c r="E45" s="135"/>
      <c r="F45" s="135"/>
      <c r="G45" s="135"/>
      <c r="H45" s="160"/>
      <c r="I45" s="160"/>
      <c r="J45" s="135"/>
      <c r="K45" s="135"/>
      <c r="L45" s="135"/>
      <c r="M45" s="135"/>
      <c r="N45" s="135"/>
      <c r="O45" s="160"/>
      <c r="P45" s="160"/>
      <c r="Q45" s="135"/>
      <c r="R45" s="135"/>
      <c r="S45" s="135"/>
      <c r="T45" s="135"/>
      <c r="U45" s="135"/>
      <c r="V45" s="160"/>
      <c r="W45" s="160"/>
      <c r="X45" s="135"/>
      <c r="Y45" s="135"/>
      <c r="Z45" s="135"/>
      <c r="AA45" s="135"/>
      <c r="AB45" s="135"/>
      <c r="AC45" s="160"/>
      <c r="AD45" s="160"/>
      <c r="AE45" s="168"/>
      <c r="AF45" s="168"/>
      <c r="AG45" s="168"/>
      <c r="AH45" s="166"/>
      <c r="AI45" s="135"/>
      <c r="AJ45" s="160"/>
      <c r="AK45" s="160"/>
      <c r="AL45" s="135"/>
      <c r="AM45" s="176"/>
      <c r="AN45" s="176"/>
      <c r="AO45" s="176"/>
      <c r="AP45" s="135"/>
      <c r="AQ45" s="160"/>
      <c r="AR45" s="160"/>
      <c r="AS45" s="55"/>
      <c r="AT45" s="55"/>
      <c r="AU45" s="55"/>
      <c r="AV45" s="55"/>
      <c r="AW45" s="55"/>
      <c r="AX45" s="159"/>
      <c r="AY45" s="159"/>
      <c r="AZ45" s="55"/>
      <c r="BA45" s="55"/>
      <c r="BB45" s="55"/>
      <c r="BC45" s="55"/>
      <c r="BD45" s="55"/>
      <c r="BE45" s="159"/>
      <c r="BF45" s="159"/>
      <c r="BG45" s="157"/>
      <c r="BH45" s="157"/>
      <c r="BI45" s="157"/>
      <c r="BJ45" s="173"/>
      <c r="BK45" s="172"/>
      <c r="BL45" s="159"/>
      <c r="BM45" s="159"/>
      <c r="BN45" s="176"/>
      <c r="BO45" s="169"/>
      <c r="BP45" s="55"/>
      <c r="BQ45" s="55"/>
      <c r="BR45" s="55"/>
      <c r="BS45" s="159"/>
      <c r="BT45" s="159"/>
      <c r="BU45" s="177"/>
      <c r="BV45" s="55"/>
      <c r="BW45" s="55"/>
      <c r="BX45" s="55"/>
      <c r="BY45" s="55"/>
      <c r="BZ45" s="159"/>
      <c r="CA45" s="159"/>
      <c r="CB45" s="55"/>
      <c r="CC45" s="55"/>
      <c r="CD45" s="55"/>
      <c r="CE45" s="55"/>
      <c r="CF45" s="55"/>
      <c r="CG45" s="159"/>
      <c r="CH45" s="159"/>
      <c r="CI45" s="156"/>
      <c r="CJ45" s="156"/>
      <c r="CK45" s="156"/>
      <c r="CL45" s="156"/>
      <c r="CM45" s="156"/>
      <c r="CN45" s="155"/>
      <c r="CO45" s="155"/>
      <c r="CP45" s="156"/>
      <c r="CQ45" s="156"/>
      <c r="CR45" s="156"/>
      <c r="CS45" s="156"/>
      <c r="CT45" s="156"/>
      <c r="CU45" s="155"/>
      <c r="CV45" s="155"/>
      <c r="CW45" s="156"/>
      <c r="CX45" s="156"/>
      <c r="CY45" s="156"/>
      <c r="CZ45" s="156"/>
      <c r="DA45" s="156"/>
      <c r="DB45" s="155"/>
      <c r="DC45" s="155"/>
      <c r="DD45" s="156"/>
      <c r="DE45" s="156"/>
      <c r="DF45" s="156"/>
      <c r="DG45" s="156"/>
      <c r="DH45" s="156"/>
      <c r="DI45" s="155"/>
      <c r="DJ45" s="155"/>
      <c r="DK45" s="156"/>
      <c r="DL45" s="156"/>
      <c r="DM45" s="156"/>
      <c r="DN45" s="156"/>
      <c r="DO45" s="156"/>
      <c r="DP45" s="155"/>
      <c r="DQ45" s="155"/>
      <c r="DR45" s="156"/>
      <c r="DS45" s="156"/>
      <c r="DT45" s="156"/>
      <c r="DU45" s="156"/>
      <c r="DV45" s="156"/>
    </row>
    <row r="46" ht="15.75" customHeight="1">
      <c r="A46" s="146"/>
      <c r="B46" s="165" t="s">
        <v>225</v>
      </c>
      <c r="C46" s="135"/>
      <c r="D46" s="135"/>
      <c r="E46" s="135"/>
      <c r="F46" s="135"/>
      <c r="G46" s="135"/>
      <c r="H46" s="160"/>
      <c r="I46" s="160"/>
      <c r="J46" s="135"/>
      <c r="K46" s="135"/>
      <c r="L46" s="135"/>
      <c r="M46" s="135"/>
      <c r="N46" s="135"/>
      <c r="O46" s="160"/>
      <c r="P46" s="160"/>
      <c r="Q46" s="135"/>
      <c r="R46" s="135"/>
      <c r="S46" s="135"/>
      <c r="T46" s="135"/>
      <c r="U46" s="135"/>
      <c r="V46" s="160"/>
      <c r="W46" s="160"/>
      <c r="X46" s="135"/>
      <c r="Y46" s="135"/>
      <c r="Z46" s="135"/>
      <c r="AA46" s="135"/>
      <c r="AB46" s="135"/>
      <c r="AC46" s="160"/>
      <c r="AD46" s="160"/>
      <c r="AE46" s="168"/>
      <c r="AF46" s="168"/>
      <c r="AG46" s="168"/>
      <c r="AH46" s="166"/>
      <c r="AI46" s="135"/>
      <c r="AJ46" s="160"/>
      <c r="AK46" s="160"/>
      <c r="AL46" s="135"/>
      <c r="AM46" s="176"/>
      <c r="AN46" s="176"/>
      <c r="AO46" s="176"/>
      <c r="AP46" s="135"/>
      <c r="AQ46" s="160"/>
      <c r="AR46" s="160"/>
      <c r="AS46" s="55"/>
      <c r="AT46" s="55"/>
      <c r="AU46" s="55"/>
      <c r="AV46" s="55"/>
      <c r="AW46" s="55"/>
      <c r="AX46" s="159"/>
      <c r="AY46" s="159"/>
      <c r="AZ46" s="55"/>
      <c r="BA46" s="55"/>
      <c r="BB46" s="55"/>
      <c r="BC46" s="55"/>
      <c r="BD46" s="55"/>
      <c r="BE46" s="159"/>
      <c r="BF46" s="159"/>
      <c r="BG46" s="157"/>
      <c r="BH46" s="157"/>
      <c r="BI46" s="157"/>
      <c r="BJ46" s="173"/>
      <c r="BK46" s="172"/>
      <c r="BL46" s="159"/>
      <c r="BM46" s="159"/>
      <c r="BN46" s="176"/>
      <c r="BO46" s="169"/>
      <c r="BP46" s="55"/>
      <c r="BQ46" s="55"/>
      <c r="BR46" s="55"/>
      <c r="BS46" s="159"/>
      <c r="BT46" s="159"/>
      <c r="BU46" s="55"/>
      <c r="BV46" s="177"/>
      <c r="BW46" s="177"/>
      <c r="BX46" s="55"/>
      <c r="BY46" s="55"/>
      <c r="BZ46" s="159"/>
      <c r="CA46" s="159"/>
      <c r="CB46" s="55"/>
      <c r="CC46" s="55"/>
      <c r="CD46" s="55"/>
      <c r="CE46" s="55"/>
      <c r="CF46" s="55"/>
      <c r="CG46" s="159"/>
      <c r="CH46" s="159"/>
      <c r="CI46" s="156"/>
      <c r="CJ46" s="156"/>
      <c r="CK46" s="156"/>
      <c r="CL46" s="156"/>
      <c r="CM46" s="156"/>
      <c r="CN46" s="155"/>
      <c r="CO46" s="155"/>
      <c r="CP46" s="156"/>
      <c r="CQ46" s="156"/>
      <c r="CR46" s="156"/>
      <c r="CS46" s="156"/>
      <c r="CT46" s="156"/>
      <c r="CU46" s="155"/>
      <c r="CV46" s="155"/>
      <c r="CW46" s="156"/>
      <c r="CX46" s="156"/>
      <c r="CY46" s="156"/>
      <c r="CZ46" s="156"/>
      <c r="DA46" s="156"/>
      <c r="DB46" s="155"/>
      <c r="DC46" s="155"/>
      <c r="DD46" s="156"/>
      <c r="DE46" s="156"/>
      <c r="DF46" s="156"/>
      <c r="DG46" s="156"/>
      <c r="DH46" s="156"/>
      <c r="DI46" s="155"/>
      <c r="DJ46" s="155"/>
      <c r="DK46" s="156"/>
      <c r="DL46" s="156"/>
      <c r="DM46" s="156"/>
      <c r="DN46" s="156"/>
      <c r="DO46" s="156"/>
      <c r="DP46" s="155"/>
      <c r="DQ46" s="155"/>
      <c r="DR46" s="156"/>
      <c r="DS46" s="156"/>
      <c r="DT46" s="156"/>
      <c r="DU46" s="156"/>
      <c r="DV46" s="156"/>
    </row>
    <row r="47" ht="15.75" customHeight="1">
      <c r="A47" s="146"/>
      <c r="B47" s="165" t="s">
        <v>226</v>
      </c>
      <c r="C47" s="135"/>
      <c r="D47" s="135"/>
      <c r="E47" s="135"/>
      <c r="F47" s="135"/>
      <c r="G47" s="135"/>
      <c r="H47" s="160"/>
      <c r="I47" s="160"/>
      <c r="J47" s="135"/>
      <c r="K47" s="135"/>
      <c r="L47" s="135"/>
      <c r="M47" s="135"/>
      <c r="N47" s="135"/>
      <c r="O47" s="160"/>
      <c r="P47" s="160"/>
      <c r="Q47" s="135"/>
      <c r="R47" s="135"/>
      <c r="S47" s="135"/>
      <c r="T47" s="135"/>
      <c r="U47" s="135"/>
      <c r="V47" s="160"/>
      <c r="W47" s="160"/>
      <c r="X47" s="135"/>
      <c r="Y47" s="135"/>
      <c r="Z47" s="135"/>
      <c r="AA47" s="135"/>
      <c r="AB47" s="135"/>
      <c r="AC47" s="160"/>
      <c r="AD47" s="160"/>
      <c r="AE47" s="168"/>
      <c r="AF47" s="168"/>
      <c r="AG47" s="168"/>
      <c r="AH47" s="166"/>
      <c r="AI47" s="135"/>
      <c r="AJ47" s="160"/>
      <c r="AK47" s="160"/>
      <c r="AL47" s="135"/>
      <c r="AM47" s="176"/>
      <c r="AN47" s="176"/>
      <c r="AO47" s="176"/>
      <c r="AP47" s="135"/>
      <c r="AQ47" s="160"/>
      <c r="AR47" s="160"/>
      <c r="AS47" s="55"/>
      <c r="AT47" s="55"/>
      <c r="AU47" s="55"/>
      <c r="AV47" s="55"/>
      <c r="AW47" s="55"/>
      <c r="AX47" s="159"/>
      <c r="AY47" s="159"/>
      <c r="AZ47" s="55"/>
      <c r="BA47" s="55"/>
      <c r="BB47" s="55"/>
      <c r="BC47" s="55"/>
      <c r="BD47" s="55"/>
      <c r="BE47" s="159"/>
      <c r="BF47" s="159"/>
      <c r="BG47" s="157"/>
      <c r="BH47" s="157"/>
      <c r="BI47" s="157"/>
      <c r="BJ47" s="173"/>
      <c r="BK47" s="172"/>
      <c r="BL47" s="159"/>
      <c r="BM47" s="159"/>
      <c r="BN47" s="176"/>
      <c r="BO47" s="169"/>
      <c r="BP47" s="55"/>
      <c r="BQ47" s="55"/>
      <c r="BR47" s="55"/>
      <c r="BS47" s="159"/>
      <c r="BT47" s="159"/>
      <c r="BU47" s="55"/>
      <c r="BV47" s="55"/>
      <c r="BW47" s="55"/>
      <c r="BX47" s="175"/>
      <c r="BY47" s="175"/>
      <c r="BZ47" s="159"/>
      <c r="CA47" s="159"/>
      <c r="CB47" s="175"/>
      <c r="CC47" s="55"/>
      <c r="CD47" s="55"/>
      <c r="CE47" s="55"/>
      <c r="CF47" s="55"/>
      <c r="CG47" s="159"/>
      <c r="CH47" s="159"/>
      <c r="CI47" s="156"/>
      <c r="CJ47" s="156"/>
      <c r="CK47" s="156"/>
      <c r="CL47" s="156"/>
      <c r="CM47" s="156"/>
      <c r="CN47" s="155"/>
      <c r="CO47" s="155"/>
      <c r="CP47" s="156"/>
      <c r="CQ47" s="156"/>
      <c r="CR47" s="156"/>
      <c r="CS47" s="156"/>
      <c r="CT47" s="156"/>
      <c r="CU47" s="155"/>
      <c r="CV47" s="155"/>
      <c r="CW47" s="156"/>
      <c r="CX47" s="156"/>
      <c r="CY47" s="156"/>
      <c r="CZ47" s="156"/>
      <c r="DA47" s="156"/>
      <c r="DB47" s="155"/>
      <c r="DC47" s="155"/>
      <c r="DD47" s="156"/>
      <c r="DE47" s="156"/>
      <c r="DF47" s="156"/>
      <c r="DG47" s="156"/>
      <c r="DH47" s="156"/>
      <c r="DI47" s="155"/>
      <c r="DJ47" s="155"/>
      <c r="DK47" s="156"/>
      <c r="DL47" s="156"/>
      <c r="DM47" s="156"/>
      <c r="DN47" s="156"/>
      <c r="DO47" s="156"/>
      <c r="DP47" s="155"/>
      <c r="DQ47" s="155"/>
      <c r="DR47" s="156"/>
      <c r="DS47" s="156"/>
      <c r="DT47" s="156"/>
      <c r="DU47" s="156"/>
      <c r="DV47" s="156"/>
    </row>
    <row r="48" ht="15.75" customHeight="1">
      <c r="A48" s="146"/>
      <c r="B48" s="165" t="s">
        <v>227</v>
      </c>
      <c r="C48" s="135"/>
      <c r="D48" s="135"/>
      <c r="E48" s="135"/>
      <c r="F48" s="135"/>
      <c r="G48" s="135"/>
      <c r="H48" s="160"/>
      <c r="I48" s="160"/>
      <c r="J48" s="135"/>
      <c r="K48" s="135"/>
      <c r="L48" s="135"/>
      <c r="M48" s="135"/>
      <c r="N48" s="135"/>
      <c r="O48" s="160"/>
      <c r="P48" s="160"/>
      <c r="Q48" s="135"/>
      <c r="R48" s="135"/>
      <c r="S48" s="135"/>
      <c r="T48" s="135"/>
      <c r="U48" s="135"/>
      <c r="V48" s="160"/>
      <c r="W48" s="160"/>
      <c r="X48" s="135"/>
      <c r="Y48" s="135"/>
      <c r="Z48" s="135"/>
      <c r="AA48" s="135"/>
      <c r="AB48" s="135"/>
      <c r="AC48" s="160"/>
      <c r="AD48" s="160"/>
      <c r="AE48" s="168"/>
      <c r="AF48" s="168"/>
      <c r="AG48" s="168"/>
      <c r="AH48" s="166"/>
      <c r="AI48" s="135"/>
      <c r="AJ48" s="160"/>
      <c r="AK48" s="160"/>
      <c r="AL48" s="135"/>
      <c r="AM48" s="176"/>
      <c r="AN48" s="176"/>
      <c r="AO48" s="176"/>
      <c r="AP48" s="135"/>
      <c r="AQ48" s="160"/>
      <c r="AR48" s="160"/>
      <c r="AS48" s="55"/>
      <c r="AT48" s="55"/>
      <c r="AU48" s="55"/>
      <c r="AV48" s="55"/>
      <c r="AW48" s="55"/>
      <c r="AX48" s="159"/>
      <c r="AY48" s="159"/>
      <c r="AZ48" s="55"/>
      <c r="BA48" s="55"/>
      <c r="BB48" s="55"/>
      <c r="BC48" s="55"/>
      <c r="BD48" s="55"/>
      <c r="BE48" s="159"/>
      <c r="BF48" s="159"/>
      <c r="BG48" s="157"/>
      <c r="BH48" s="157"/>
      <c r="BI48" s="157"/>
      <c r="BJ48" s="173"/>
      <c r="BK48" s="172"/>
      <c r="BL48" s="159"/>
      <c r="BM48" s="159"/>
      <c r="BN48" s="176"/>
      <c r="BO48" s="169"/>
      <c r="BP48" s="55"/>
      <c r="BQ48" s="55"/>
      <c r="BR48" s="55"/>
      <c r="BS48" s="159"/>
      <c r="BT48" s="159"/>
      <c r="BU48" s="55"/>
      <c r="BV48" s="55"/>
      <c r="BW48" s="55"/>
      <c r="BX48" s="55"/>
      <c r="BY48" s="55"/>
      <c r="BZ48" s="159"/>
      <c r="CA48" s="159"/>
      <c r="CB48" s="55"/>
      <c r="CC48" s="177"/>
      <c r="CD48" s="177"/>
      <c r="CE48" s="55"/>
      <c r="CF48" s="55"/>
      <c r="CG48" s="159"/>
      <c r="CH48" s="159"/>
      <c r="CI48" s="156"/>
      <c r="CJ48" s="156"/>
      <c r="CK48" s="156"/>
      <c r="CL48" s="156"/>
      <c r="CM48" s="156"/>
      <c r="CN48" s="155"/>
      <c r="CO48" s="155"/>
      <c r="CP48" s="156"/>
      <c r="CQ48" s="156"/>
      <c r="CR48" s="156"/>
      <c r="CS48" s="156"/>
      <c r="CT48" s="156"/>
      <c r="CU48" s="155"/>
      <c r="CV48" s="155"/>
      <c r="CW48" s="156"/>
      <c r="CX48" s="156"/>
      <c r="CY48" s="156"/>
      <c r="CZ48" s="156"/>
      <c r="DA48" s="156"/>
      <c r="DB48" s="155"/>
      <c r="DC48" s="155"/>
      <c r="DD48" s="156"/>
      <c r="DE48" s="156"/>
      <c r="DF48" s="156"/>
      <c r="DG48" s="156"/>
      <c r="DH48" s="156"/>
      <c r="DI48" s="155"/>
      <c r="DJ48" s="155"/>
      <c r="DK48" s="156"/>
      <c r="DL48" s="156"/>
      <c r="DM48" s="156"/>
      <c r="DN48" s="156"/>
      <c r="DO48" s="156"/>
      <c r="DP48" s="155"/>
      <c r="DQ48" s="155"/>
      <c r="DR48" s="156"/>
      <c r="DS48" s="156"/>
      <c r="DT48" s="156"/>
      <c r="DU48" s="156"/>
      <c r="DV48" s="156"/>
    </row>
    <row r="49" ht="15.75" customHeight="1">
      <c r="A49" s="146"/>
      <c r="B49" s="165" t="s">
        <v>227</v>
      </c>
      <c r="C49" s="135"/>
      <c r="D49" s="135"/>
      <c r="E49" s="135"/>
      <c r="F49" s="135"/>
      <c r="G49" s="135"/>
      <c r="H49" s="160"/>
      <c r="I49" s="160"/>
      <c r="J49" s="135"/>
      <c r="K49" s="135"/>
      <c r="L49" s="135"/>
      <c r="M49" s="135"/>
      <c r="N49" s="135"/>
      <c r="O49" s="160"/>
      <c r="P49" s="160"/>
      <c r="Q49" s="135"/>
      <c r="R49" s="135"/>
      <c r="S49" s="135"/>
      <c r="T49" s="135"/>
      <c r="U49" s="135"/>
      <c r="V49" s="160"/>
      <c r="W49" s="160"/>
      <c r="X49" s="135"/>
      <c r="Y49" s="135"/>
      <c r="Z49" s="135"/>
      <c r="AA49" s="135"/>
      <c r="AB49" s="135"/>
      <c r="AC49" s="160"/>
      <c r="AD49" s="160"/>
      <c r="AE49" s="168"/>
      <c r="AF49" s="168"/>
      <c r="AG49" s="168"/>
      <c r="AH49" s="166"/>
      <c r="AI49" s="135"/>
      <c r="AJ49" s="160"/>
      <c r="AK49" s="160"/>
      <c r="AL49" s="135"/>
      <c r="AM49" s="176"/>
      <c r="AN49" s="176"/>
      <c r="AO49" s="176"/>
      <c r="AP49" s="135"/>
      <c r="AQ49" s="160"/>
      <c r="AR49" s="160"/>
      <c r="AS49" s="55"/>
      <c r="AT49" s="55"/>
      <c r="AU49" s="55"/>
      <c r="AV49" s="55"/>
      <c r="AW49" s="55"/>
      <c r="AX49" s="159"/>
      <c r="AY49" s="159"/>
      <c r="AZ49" s="55"/>
      <c r="BA49" s="55"/>
      <c r="BB49" s="55"/>
      <c r="BC49" s="55"/>
      <c r="BD49" s="55"/>
      <c r="BE49" s="159"/>
      <c r="BF49" s="159"/>
      <c r="BG49" s="157"/>
      <c r="BH49" s="157"/>
      <c r="BI49" s="157"/>
      <c r="BJ49" s="173"/>
      <c r="BK49" s="172"/>
      <c r="BL49" s="159"/>
      <c r="BM49" s="159"/>
      <c r="BN49" s="176"/>
      <c r="BO49" s="169"/>
      <c r="BP49" s="55"/>
      <c r="BQ49" s="55"/>
      <c r="BR49" s="55"/>
      <c r="BS49" s="159"/>
      <c r="BT49" s="159"/>
      <c r="BU49" s="55"/>
      <c r="BV49" s="55"/>
      <c r="BW49" s="55"/>
      <c r="BX49" s="55"/>
      <c r="BY49" s="55"/>
      <c r="BZ49" s="159"/>
      <c r="CA49" s="159"/>
      <c r="CB49" s="55"/>
      <c r="CC49" s="55"/>
      <c r="CD49" s="55"/>
      <c r="CE49" s="175"/>
      <c r="CF49" s="55"/>
      <c r="CG49" s="159"/>
      <c r="CH49" s="159"/>
      <c r="CI49" s="156"/>
      <c r="CJ49" s="156"/>
      <c r="CK49" s="156"/>
      <c r="CL49" s="156"/>
      <c r="CM49" s="156"/>
      <c r="CN49" s="155"/>
      <c r="CO49" s="155"/>
      <c r="CP49" s="156"/>
      <c r="CQ49" s="156"/>
      <c r="CR49" s="156"/>
      <c r="CS49" s="156"/>
      <c r="CT49" s="156"/>
      <c r="CU49" s="155"/>
      <c r="CV49" s="155"/>
      <c r="CW49" s="156"/>
      <c r="CX49" s="156"/>
      <c r="CY49" s="156"/>
      <c r="CZ49" s="156"/>
      <c r="DA49" s="156"/>
      <c r="DB49" s="155"/>
      <c r="DC49" s="155"/>
      <c r="DD49" s="156"/>
      <c r="DE49" s="156"/>
      <c r="DF49" s="156"/>
      <c r="DG49" s="156"/>
      <c r="DH49" s="156"/>
      <c r="DI49" s="155"/>
      <c r="DJ49" s="155"/>
      <c r="DK49" s="156"/>
      <c r="DL49" s="156"/>
      <c r="DM49" s="156"/>
      <c r="DN49" s="156"/>
      <c r="DO49" s="156"/>
      <c r="DP49" s="155"/>
      <c r="DQ49" s="155"/>
      <c r="DR49" s="156"/>
      <c r="DS49" s="156"/>
      <c r="DT49" s="156"/>
      <c r="DU49" s="156"/>
      <c r="DV49" s="156"/>
    </row>
    <row r="50" ht="15.75" customHeight="1">
      <c r="A50" s="146"/>
      <c r="B50" s="165" t="s">
        <v>228</v>
      </c>
      <c r="C50" s="135"/>
      <c r="D50" s="135"/>
      <c r="E50" s="135"/>
      <c r="F50" s="135"/>
      <c r="G50" s="135"/>
      <c r="H50" s="160"/>
      <c r="I50" s="160"/>
      <c r="J50" s="135"/>
      <c r="K50" s="135"/>
      <c r="L50" s="135"/>
      <c r="M50" s="135"/>
      <c r="N50" s="135"/>
      <c r="O50" s="160"/>
      <c r="P50" s="160"/>
      <c r="Q50" s="135"/>
      <c r="R50" s="135"/>
      <c r="S50" s="135"/>
      <c r="T50" s="135"/>
      <c r="U50" s="135"/>
      <c r="V50" s="160"/>
      <c r="W50" s="160"/>
      <c r="X50" s="135"/>
      <c r="Y50" s="135"/>
      <c r="Z50" s="135"/>
      <c r="AA50" s="135"/>
      <c r="AB50" s="135"/>
      <c r="AC50" s="160"/>
      <c r="AD50" s="160"/>
      <c r="AE50" s="168"/>
      <c r="AF50" s="168"/>
      <c r="AG50" s="168"/>
      <c r="AH50" s="166"/>
      <c r="AI50" s="135"/>
      <c r="AJ50" s="160"/>
      <c r="AK50" s="160"/>
      <c r="AL50" s="153"/>
      <c r="AM50" s="135"/>
      <c r="AN50" s="135"/>
      <c r="AO50" s="135"/>
      <c r="AP50" s="135"/>
      <c r="AQ50" s="160"/>
      <c r="AR50" s="160"/>
      <c r="AS50" s="55"/>
      <c r="AT50" s="55"/>
      <c r="AU50" s="55"/>
      <c r="AV50" s="55"/>
      <c r="AW50" s="55"/>
      <c r="AX50" s="159"/>
      <c r="AY50" s="159"/>
      <c r="AZ50" s="55"/>
      <c r="BA50" s="55"/>
      <c r="BB50" s="55"/>
      <c r="BC50" s="55"/>
      <c r="BD50" s="55"/>
      <c r="BE50" s="159"/>
      <c r="BF50" s="159"/>
      <c r="BG50" s="55"/>
      <c r="BH50" s="55"/>
      <c r="BI50" s="55"/>
      <c r="BJ50" s="163"/>
      <c r="BK50" s="55"/>
      <c r="BL50" s="159"/>
      <c r="BM50" s="159"/>
      <c r="BN50" s="55"/>
      <c r="BO50" s="55"/>
      <c r="BP50" s="55"/>
      <c r="BQ50" s="55"/>
      <c r="BR50" s="55"/>
      <c r="BS50" s="159"/>
      <c r="BT50" s="159"/>
      <c r="BU50" s="55"/>
      <c r="BV50" s="55"/>
      <c r="BW50" s="55"/>
      <c r="BX50" s="55"/>
      <c r="BY50" s="55"/>
      <c r="BZ50" s="159"/>
      <c r="CA50" s="159"/>
      <c r="CB50" s="55"/>
      <c r="CC50" s="55"/>
      <c r="CD50" s="55"/>
      <c r="CE50" s="55"/>
      <c r="CF50" s="164" t="s">
        <v>191</v>
      </c>
      <c r="CG50" s="159"/>
      <c r="CH50" s="159"/>
      <c r="CI50" s="156"/>
      <c r="CJ50" s="156"/>
      <c r="CK50" s="156"/>
      <c r="CL50" s="156"/>
      <c r="CM50" s="156"/>
      <c r="CN50" s="155"/>
      <c r="CO50" s="155"/>
      <c r="CP50" s="156"/>
      <c r="CQ50" s="156"/>
      <c r="CR50" s="156"/>
      <c r="CS50" s="156"/>
      <c r="CT50" s="156"/>
      <c r="CU50" s="155"/>
      <c r="CV50" s="155"/>
      <c r="CW50" s="156"/>
      <c r="CX50" s="156"/>
      <c r="CY50" s="156"/>
      <c r="CZ50" s="156"/>
      <c r="DA50" s="156"/>
      <c r="DB50" s="155"/>
      <c r="DC50" s="155"/>
      <c r="DD50" s="156"/>
      <c r="DE50" s="156"/>
      <c r="DF50" s="156"/>
      <c r="DG50" s="156"/>
      <c r="DH50" s="156"/>
      <c r="DI50" s="155"/>
      <c r="DJ50" s="155"/>
      <c r="DK50" s="156"/>
      <c r="DL50" s="156"/>
      <c r="DM50" s="156"/>
      <c r="DN50" s="156"/>
      <c r="DO50" s="156"/>
      <c r="DP50" s="155"/>
      <c r="DQ50" s="155"/>
      <c r="DR50" s="156"/>
      <c r="DS50" s="156"/>
      <c r="DT50" s="156"/>
      <c r="DU50" s="156"/>
      <c r="DV50" s="156"/>
    </row>
    <row r="51" ht="15.75" customHeight="1">
      <c r="A51" s="146"/>
      <c r="B51" s="167" t="s">
        <v>92</v>
      </c>
      <c r="C51" s="135"/>
      <c r="D51" s="135"/>
      <c r="E51" s="135"/>
      <c r="F51" s="135"/>
      <c r="G51" s="135"/>
      <c r="H51" s="160"/>
      <c r="I51" s="160"/>
      <c r="J51" s="135"/>
      <c r="K51" s="135"/>
      <c r="L51" s="135"/>
      <c r="M51" s="135"/>
      <c r="N51" s="135"/>
      <c r="O51" s="160"/>
      <c r="P51" s="160"/>
      <c r="Q51" s="135"/>
      <c r="R51" s="135"/>
      <c r="S51" s="135"/>
      <c r="T51" s="135"/>
      <c r="U51" s="135"/>
      <c r="V51" s="160"/>
      <c r="W51" s="160"/>
      <c r="X51" s="135"/>
      <c r="Y51" s="135"/>
      <c r="Z51" s="135"/>
      <c r="AA51" s="135"/>
      <c r="AB51" s="135"/>
      <c r="AC51" s="160"/>
      <c r="AD51" s="160"/>
      <c r="AE51" s="168"/>
      <c r="AF51" s="168"/>
      <c r="AG51" s="168"/>
      <c r="AH51" s="166"/>
      <c r="AI51" s="135"/>
      <c r="AJ51" s="160"/>
      <c r="AK51" s="160"/>
      <c r="AL51" s="153"/>
      <c r="AM51" s="135"/>
      <c r="AN51" s="135"/>
      <c r="AO51" s="135"/>
      <c r="AP51" s="135"/>
      <c r="AQ51" s="160"/>
      <c r="AR51" s="160"/>
      <c r="AS51" s="55"/>
      <c r="AT51" s="55"/>
      <c r="AU51" s="55"/>
      <c r="AV51" s="55"/>
      <c r="AW51" s="55"/>
      <c r="AX51" s="159"/>
      <c r="AY51" s="159"/>
      <c r="AZ51" s="55"/>
      <c r="BA51" s="55"/>
      <c r="BB51" s="55"/>
      <c r="BC51" s="55"/>
      <c r="BD51" s="55"/>
      <c r="BE51" s="159"/>
      <c r="BF51" s="159"/>
      <c r="BG51" s="55"/>
      <c r="BH51" s="55"/>
      <c r="BI51" s="55"/>
      <c r="BJ51" s="163"/>
      <c r="BK51" s="55"/>
      <c r="BL51" s="159"/>
      <c r="BM51" s="159"/>
      <c r="BN51" s="55"/>
      <c r="BO51" s="55"/>
      <c r="BP51" s="55"/>
      <c r="BQ51" s="55"/>
      <c r="BR51" s="55"/>
      <c r="BS51" s="159"/>
      <c r="BT51" s="159"/>
      <c r="BU51" s="55"/>
      <c r="BV51" s="55"/>
      <c r="BW51" s="55"/>
      <c r="BX51" s="55"/>
      <c r="BY51" s="55"/>
      <c r="BZ51" s="159"/>
      <c r="CA51" s="159"/>
      <c r="CB51" s="55"/>
      <c r="CC51" s="55"/>
      <c r="CD51" s="55"/>
      <c r="CE51" s="55"/>
      <c r="CF51" s="55"/>
      <c r="CG51" s="159"/>
      <c r="CH51" s="159"/>
      <c r="CI51" s="179"/>
      <c r="CJ51" s="156"/>
      <c r="CK51" s="156"/>
      <c r="CL51" s="156"/>
      <c r="CM51" s="156"/>
      <c r="CN51" s="155"/>
      <c r="CO51" s="155"/>
      <c r="CP51" s="156"/>
      <c r="CQ51" s="156"/>
      <c r="CR51" s="156"/>
      <c r="CS51" s="156"/>
      <c r="CT51" s="156"/>
      <c r="CU51" s="155"/>
      <c r="CV51" s="155"/>
      <c r="CW51" s="156"/>
      <c r="CX51" s="156"/>
      <c r="CY51" s="156"/>
      <c r="CZ51" s="156"/>
      <c r="DA51" s="156"/>
      <c r="DB51" s="155"/>
      <c r="DC51" s="155"/>
      <c r="DD51" s="156"/>
      <c r="DE51" s="156"/>
      <c r="DF51" s="156"/>
      <c r="DG51" s="156"/>
      <c r="DH51" s="156"/>
      <c r="DI51" s="155"/>
      <c r="DJ51" s="155"/>
      <c r="DK51" s="156"/>
      <c r="DL51" s="156"/>
      <c r="DM51" s="156"/>
      <c r="DN51" s="156"/>
      <c r="DO51" s="156"/>
      <c r="DP51" s="155"/>
      <c r="DQ51" s="155"/>
      <c r="DR51" s="156"/>
      <c r="DS51" s="156"/>
      <c r="DT51" s="156"/>
      <c r="DU51" s="156"/>
      <c r="DV51" s="156"/>
    </row>
    <row r="52" ht="15.75" customHeight="1">
      <c r="A52" s="146"/>
      <c r="B52" s="165" t="s">
        <v>229</v>
      </c>
      <c r="C52" s="135"/>
      <c r="D52" s="135"/>
      <c r="E52" s="135"/>
      <c r="F52" s="135"/>
      <c r="G52" s="135"/>
      <c r="H52" s="160"/>
      <c r="I52" s="160"/>
      <c r="J52" s="135"/>
      <c r="K52" s="135"/>
      <c r="L52" s="135"/>
      <c r="M52" s="135"/>
      <c r="N52" s="135"/>
      <c r="O52" s="160"/>
      <c r="P52" s="160"/>
      <c r="Q52" s="135"/>
      <c r="R52" s="135"/>
      <c r="S52" s="135"/>
      <c r="T52" s="135"/>
      <c r="U52" s="135"/>
      <c r="V52" s="160"/>
      <c r="W52" s="160"/>
      <c r="X52" s="135"/>
      <c r="Y52" s="135"/>
      <c r="Z52" s="135"/>
      <c r="AA52" s="135"/>
      <c r="AB52" s="135"/>
      <c r="AC52" s="160"/>
      <c r="AD52" s="160"/>
      <c r="AE52" s="168"/>
      <c r="AF52" s="168"/>
      <c r="AG52" s="168"/>
      <c r="AH52" s="166"/>
      <c r="AI52" s="135"/>
      <c r="AJ52" s="160"/>
      <c r="AK52" s="160"/>
      <c r="AL52" s="179"/>
      <c r="AM52" s="179"/>
      <c r="AN52" s="179"/>
      <c r="AO52" s="135"/>
      <c r="AP52" s="135"/>
      <c r="AQ52" s="160"/>
      <c r="AR52" s="160"/>
      <c r="AS52" s="55"/>
      <c r="AT52" s="55"/>
      <c r="AU52" s="55"/>
      <c r="AV52" s="55"/>
      <c r="AW52" s="55"/>
      <c r="AX52" s="159"/>
      <c r="AY52" s="159"/>
      <c r="AZ52" s="55"/>
      <c r="BA52" s="55"/>
      <c r="BB52" s="55"/>
      <c r="BC52" s="55"/>
      <c r="BD52" s="55"/>
      <c r="BE52" s="159"/>
      <c r="BF52" s="159"/>
      <c r="BG52" s="55"/>
      <c r="BH52" s="55"/>
      <c r="BI52" s="55"/>
      <c r="BJ52" s="163"/>
      <c r="BK52" s="55"/>
      <c r="BL52" s="159"/>
      <c r="BM52" s="159"/>
      <c r="BN52" s="55"/>
      <c r="BO52" s="55"/>
      <c r="BP52" s="55"/>
      <c r="BQ52" s="55"/>
      <c r="BR52" s="55"/>
      <c r="BS52" s="159"/>
      <c r="BT52" s="159"/>
      <c r="BU52" s="55"/>
      <c r="BV52" s="55"/>
      <c r="BW52" s="55"/>
      <c r="BX52" s="55"/>
      <c r="BY52" s="55"/>
      <c r="BZ52" s="159"/>
      <c r="CA52" s="159"/>
      <c r="CB52" s="55"/>
      <c r="CC52" s="55"/>
      <c r="CD52" s="55"/>
      <c r="CE52" s="55"/>
      <c r="CF52" s="55"/>
      <c r="CG52" s="159"/>
      <c r="CH52" s="159"/>
      <c r="CI52" s="156"/>
      <c r="CJ52" s="156"/>
      <c r="CK52" s="156"/>
      <c r="CL52" s="156"/>
      <c r="CM52" s="156"/>
      <c r="CN52" s="155"/>
      <c r="CO52" s="155"/>
      <c r="CP52" s="156"/>
      <c r="CQ52" s="156"/>
      <c r="CR52" s="156"/>
      <c r="CS52" s="156"/>
      <c r="CT52" s="156"/>
      <c r="CU52" s="155"/>
      <c r="CV52" s="155"/>
      <c r="CW52" s="156"/>
      <c r="CX52" s="156"/>
      <c r="CY52" s="156"/>
      <c r="CZ52" s="156"/>
      <c r="DA52" s="156"/>
      <c r="DB52" s="155"/>
      <c r="DC52" s="155"/>
      <c r="DD52" s="156"/>
      <c r="DE52" s="156"/>
      <c r="DF52" s="156"/>
      <c r="DG52" s="156"/>
      <c r="DH52" s="156"/>
      <c r="DI52" s="155"/>
      <c r="DJ52" s="155"/>
      <c r="DK52" s="156"/>
      <c r="DL52" s="156"/>
      <c r="DM52" s="156"/>
      <c r="DN52" s="156"/>
      <c r="DO52" s="156"/>
      <c r="DP52" s="155"/>
      <c r="DQ52" s="155"/>
      <c r="DR52" s="156"/>
      <c r="DS52" s="156"/>
      <c r="DT52" s="156"/>
      <c r="DU52" s="156"/>
      <c r="DV52" s="156"/>
    </row>
    <row r="53" ht="15.75" customHeight="1">
      <c r="A53" s="146"/>
      <c r="B53" s="165" t="s">
        <v>230</v>
      </c>
      <c r="C53" s="135"/>
      <c r="D53" s="135"/>
      <c r="E53" s="135"/>
      <c r="F53" s="135"/>
      <c r="G53" s="135"/>
      <c r="H53" s="160"/>
      <c r="I53" s="160"/>
      <c r="J53" s="135"/>
      <c r="K53" s="135"/>
      <c r="L53" s="135"/>
      <c r="M53" s="135"/>
      <c r="N53" s="135"/>
      <c r="O53" s="160"/>
      <c r="P53" s="160"/>
      <c r="Q53" s="135"/>
      <c r="R53" s="135"/>
      <c r="S53" s="135"/>
      <c r="T53" s="135"/>
      <c r="U53" s="135"/>
      <c r="V53" s="160"/>
      <c r="W53" s="160"/>
      <c r="X53" s="135"/>
      <c r="Y53" s="135"/>
      <c r="Z53" s="135"/>
      <c r="AA53" s="135"/>
      <c r="AB53" s="135"/>
      <c r="AC53" s="160"/>
      <c r="AD53" s="160"/>
      <c r="AE53" s="168"/>
      <c r="AF53" s="168"/>
      <c r="AG53" s="168"/>
      <c r="AH53" s="166"/>
      <c r="AI53" s="135"/>
      <c r="AJ53" s="160"/>
      <c r="AK53" s="160"/>
      <c r="AL53" s="135"/>
      <c r="AM53" s="135"/>
      <c r="AN53" s="135"/>
      <c r="AO53" s="135"/>
      <c r="AP53" s="135"/>
      <c r="AQ53" s="160"/>
      <c r="AR53" s="160"/>
      <c r="AS53" s="55"/>
      <c r="AT53" s="55"/>
      <c r="AU53" s="55"/>
      <c r="AV53" s="55"/>
      <c r="AW53" s="55"/>
      <c r="AX53" s="159"/>
      <c r="AY53" s="159"/>
      <c r="AZ53" s="55"/>
      <c r="BA53" s="55"/>
      <c r="BB53" s="55"/>
      <c r="BC53" s="55"/>
      <c r="BD53" s="55"/>
      <c r="BE53" s="159"/>
      <c r="BF53" s="159"/>
      <c r="BG53" s="55"/>
      <c r="BH53" s="55"/>
      <c r="BI53" s="55"/>
      <c r="BJ53" s="163"/>
      <c r="BK53" s="55"/>
      <c r="BL53" s="159"/>
      <c r="BM53" s="159"/>
      <c r="BN53" s="55"/>
      <c r="BO53" s="55"/>
      <c r="BP53" s="55"/>
      <c r="BQ53" s="55"/>
      <c r="BR53" s="55"/>
      <c r="BS53" s="159"/>
      <c r="BT53" s="159"/>
      <c r="BU53" s="179"/>
      <c r="BV53" s="179"/>
      <c r="BW53" s="55"/>
      <c r="BX53" s="55"/>
      <c r="BY53" s="55"/>
      <c r="BZ53" s="159"/>
      <c r="CA53" s="159"/>
      <c r="CB53" s="55"/>
      <c r="CC53" s="55"/>
      <c r="CD53" s="55"/>
      <c r="CE53" s="55"/>
      <c r="CF53" s="55"/>
      <c r="CG53" s="159"/>
      <c r="CH53" s="159"/>
      <c r="CI53" s="156"/>
      <c r="CJ53" s="156"/>
      <c r="CK53" s="156"/>
      <c r="CL53" s="156"/>
      <c r="CM53" s="156"/>
      <c r="CN53" s="155"/>
      <c r="CO53" s="155"/>
      <c r="CP53" s="156"/>
      <c r="CQ53" s="156"/>
      <c r="CR53" s="156"/>
      <c r="CS53" s="156"/>
      <c r="CT53" s="156"/>
      <c r="CU53" s="155"/>
      <c r="CV53" s="155"/>
      <c r="CW53" s="156"/>
      <c r="CX53" s="156"/>
      <c r="CY53" s="156"/>
      <c r="CZ53" s="156"/>
      <c r="DA53" s="156"/>
      <c r="DB53" s="155"/>
      <c r="DC53" s="155"/>
      <c r="DD53" s="156"/>
      <c r="DE53" s="156"/>
      <c r="DF53" s="156"/>
      <c r="DG53" s="156"/>
      <c r="DH53" s="156"/>
      <c r="DI53" s="155"/>
      <c r="DJ53" s="155"/>
      <c r="DK53" s="156"/>
      <c r="DL53" s="156"/>
      <c r="DM53" s="156"/>
      <c r="DN53" s="156"/>
      <c r="DO53" s="156"/>
      <c r="DP53" s="155"/>
      <c r="DQ53" s="155"/>
      <c r="DR53" s="156"/>
      <c r="DS53" s="156"/>
      <c r="DT53" s="156"/>
      <c r="DU53" s="156"/>
      <c r="DV53" s="156"/>
    </row>
    <row r="54" ht="15.75" customHeight="1">
      <c r="A54" s="146"/>
      <c r="B54" s="165" t="s">
        <v>231</v>
      </c>
      <c r="C54" s="135"/>
      <c r="D54" s="135"/>
      <c r="E54" s="135"/>
      <c r="F54" s="135"/>
      <c r="G54" s="135"/>
      <c r="H54" s="160"/>
      <c r="I54" s="160"/>
      <c r="J54" s="135"/>
      <c r="K54" s="135"/>
      <c r="L54" s="135"/>
      <c r="M54" s="135"/>
      <c r="N54" s="135"/>
      <c r="O54" s="160"/>
      <c r="P54" s="160"/>
      <c r="Q54" s="135"/>
      <c r="R54" s="135"/>
      <c r="S54" s="135"/>
      <c r="T54" s="135"/>
      <c r="U54" s="135"/>
      <c r="V54" s="160"/>
      <c r="W54" s="160"/>
      <c r="X54" s="135"/>
      <c r="Y54" s="135"/>
      <c r="Z54" s="135"/>
      <c r="AA54" s="135"/>
      <c r="AB54" s="135"/>
      <c r="AC54" s="160"/>
      <c r="AD54" s="160"/>
      <c r="AE54" s="168"/>
      <c r="AF54" s="168"/>
      <c r="AG54" s="168"/>
      <c r="AH54" s="166"/>
      <c r="AI54" s="135"/>
      <c r="AJ54" s="160"/>
      <c r="AK54" s="160"/>
      <c r="AL54" s="135"/>
      <c r="AM54" s="135"/>
      <c r="AN54" s="135"/>
      <c r="AO54" s="135"/>
      <c r="AP54" s="135"/>
      <c r="AQ54" s="160"/>
      <c r="AR54" s="160"/>
      <c r="AS54" s="55"/>
      <c r="AT54" s="55"/>
      <c r="AU54" s="55"/>
      <c r="AV54" s="55"/>
      <c r="AW54" s="55"/>
      <c r="AX54" s="159"/>
      <c r="AY54" s="159"/>
      <c r="AZ54" s="55"/>
      <c r="BA54" s="55"/>
      <c r="BB54" s="55"/>
      <c r="BC54" s="55"/>
      <c r="BD54" s="55"/>
      <c r="BE54" s="159"/>
      <c r="BF54" s="159"/>
      <c r="BG54" s="55"/>
      <c r="BH54" s="55"/>
      <c r="BI54" s="55"/>
      <c r="BJ54" s="163"/>
      <c r="BK54" s="55"/>
      <c r="BL54" s="159"/>
      <c r="BM54" s="159"/>
      <c r="BN54" s="55"/>
      <c r="BO54" s="55"/>
      <c r="BP54" s="55"/>
      <c r="BQ54" s="55"/>
      <c r="BR54" s="55"/>
      <c r="BS54" s="159"/>
      <c r="BT54" s="159"/>
      <c r="BU54" s="55"/>
      <c r="BV54" s="55"/>
      <c r="BW54" s="55"/>
      <c r="BX54" s="55"/>
      <c r="BY54" s="55"/>
      <c r="BZ54" s="159"/>
      <c r="CA54" s="159"/>
      <c r="CB54" s="55"/>
      <c r="CC54" s="179"/>
      <c r="CD54" s="179"/>
      <c r="CE54" s="55"/>
      <c r="CF54" s="55"/>
      <c r="CG54" s="159"/>
      <c r="CH54" s="159"/>
      <c r="CI54" s="156"/>
      <c r="CJ54" s="156"/>
      <c r="CK54" s="156"/>
      <c r="CL54" s="156"/>
      <c r="CM54" s="156"/>
      <c r="CN54" s="155"/>
      <c r="CO54" s="155"/>
      <c r="CP54" s="156"/>
      <c r="CQ54" s="156"/>
      <c r="CR54" s="156"/>
      <c r="CS54" s="156"/>
      <c r="CT54" s="156"/>
      <c r="CU54" s="155"/>
      <c r="CV54" s="155"/>
      <c r="CW54" s="156"/>
      <c r="CX54" s="156"/>
      <c r="CY54" s="156"/>
      <c r="CZ54" s="156"/>
      <c r="DA54" s="156"/>
      <c r="DB54" s="155"/>
      <c r="DC54" s="155"/>
      <c r="DD54" s="156"/>
      <c r="DE54" s="156"/>
      <c r="DF54" s="156"/>
      <c r="DG54" s="156"/>
      <c r="DH54" s="156"/>
      <c r="DI54" s="155"/>
      <c r="DJ54" s="155"/>
      <c r="DK54" s="156"/>
      <c r="DL54" s="156"/>
      <c r="DM54" s="156"/>
      <c r="DN54" s="156"/>
      <c r="DO54" s="156"/>
      <c r="DP54" s="155"/>
      <c r="DQ54" s="155"/>
      <c r="DR54" s="156"/>
      <c r="DS54" s="156"/>
      <c r="DT54" s="156"/>
      <c r="DU54" s="156"/>
      <c r="DV54" s="156"/>
    </row>
    <row r="55" ht="15.75" customHeight="1">
      <c r="A55" s="146"/>
      <c r="B55" s="165" t="s">
        <v>102</v>
      </c>
      <c r="C55" s="135"/>
      <c r="D55" s="135"/>
      <c r="E55" s="135"/>
      <c r="F55" s="135"/>
      <c r="G55" s="135"/>
      <c r="H55" s="160"/>
      <c r="I55" s="160"/>
      <c r="J55" s="135"/>
      <c r="K55" s="135"/>
      <c r="L55" s="135"/>
      <c r="M55" s="135"/>
      <c r="N55" s="135"/>
      <c r="O55" s="160"/>
      <c r="P55" s="160"/>
      <c r="Q55" s="135"/>
      <c r="R55" s="135"/>
      <c r="S55" s="135"/>
      <c r="T55" s="135"/>
      <c r="U55" s="135"/>
      <c r="V55" s="160"/>
      <c r="W55" s="160"/>
      <c r="X55" s="135"/>
      <c r="Y55" s="135"/>
      <c r="Z55" s="135"/>
      <c r="AA55" s="135"/>
      <c r="AB55" s="135"/>
      <c r="AC55" s="160"/>
      <c r="AD55" s="160"/>
      <c r="AE55" s="168"/>
      <c r="AF55" s="168"/>
      <c r="AG55" s="168"/>
      <c r="AH55" s="166"/>
      <c r="AI55" s="135"/>
      <c r="AJ55" s="160"/>
      <c r="AK55" s="160"/>
      <c r="AL55" s="135"/>
      <c r="AM55" s="135"/>
      <c r="AN55" s="135"/>
      <c r="AO55" s="135"/>
      <c r="AP55" s="135"/>
      <c r="AQ55" s="160"/>
      <c r="AR55" s="160"/>
      <c r="AS55" s="55"/>
      <c r="AT55" s="55"/>
      <c r="AU55" s="55"/>
      <c r="AV55" s="55"/>
      <c r="AW55" s="55"/>
      <c r="AX55" s="159"/>
      <c r="AY55" s="159"/>
      <c r="AZ55" s="55"/>
      <c r="BA55" s="55"/>
      <c r="BB55" s="55"/>
      <c r="BC55" s="55"/>
      <c r="BD55" s="55"/>
      <c r="BE55" s="159"/>
      <c r="BF55" s="159"/>
      <c r="BG55" s="55"/>
      <c r="BH55" s="55"/>
      <c r="BI55" s="55"/>
      <c r="BJ55" s="163"/>
      <c r="BK55" s="55"/>
      <c r="BL55" s="159"/>
      <c r="BM55" s="159"/>
      <c r="BN55" s="55"/>
      <c r="BO55" s="55"/>
      <c r="BP55" s="55"/>
      <c r="BQ55" s="55"/>
      <c r="BR55" s="55"/>
      <c r="BS55" s="159"/>
      <c r="BT55" s="159"/>
      <c r="BU55" s="55"/>
      <c r="BV55" s="55"/>
      <c r="BW55" s="55"/>
      <c r="BX55" s="55"/>
      <c r="BY55" s="55"/>
      <c r="BZ55" s="159"/>
      <c r="CA55" s="159"/>
      <c r="CB55" s="55"/>
      <c r="CC55" s="55"/>
      <c r="CD55" s="55"/>
      <c r="CE55" s="179"/>
      <c r="CF55" s="55"/>
      <c r="CG55" s="159"/>
      <c r="CH55" s="159"/>
      <c r="CI55" s="156"/>
      <c r="CJ55" s="156"/>
      <c r="CK55" s="156"/>
      <c r="CL55" s="156"/>
      <c r="CM55" s="156"/>
      <c r="CN55" s="155"/>
      <c r="CO55" s="155"/>
      <c r="CP55" s="156"/>
      <c r="CQ55" s="156"/>
      <c r="CR55" s="156"/>
      <c r="CS55" s="156"/>
      <c r="CT55" s="156"/>
      <c r="CU55" s="155"/>
      <c r="CV55" s="155"/>
      <c r="CW55" s="156"/>
      <c r="CX55" s="156"/>
      <c r="CY55" s="156"/>
      <c r="CZ55" s="156"/>
      <c r="DA55" s="156"/>
      <c r="DB55" s="155"/>
      <c r="DC55" s="155"/>
      <c r="DD55" s="156"/>
      <c r="DE55" s="156"/>
      <c r="DF55" s="156"/>
      <c r="DG55" s="156"/>
      <c r="DH55" s="156"/>
      <c r="DI55" s="155"/>
      <c r="DJ55" s="155"/>
      <c r="DK55" s="156"/>
      <c r="DL55" s="156"/>
      <c r="DM55" s="156"/>
      <c r="DN55" s="156"/>
      <c r="DO55" s="156"/>
      <c r="DP55" s="155"/>
      <c r="DQ55" s="155"/>
      <c r="DR55" s="156"/>
      <c r="DS55" s="156"/>
      <c r="DT55" s="156"/>
      <c r="DU55" s="156"/>
      <c r="DV55" s="156"/>
    </row>
    <row r="56" ht="15.75" customHeight="1">
      <c r="A56" s="146"/>
      <c r="B56" s="165" t="s">
        <v>104</v>
      </c>
      <c r="C56" s="135"/>
      <c r="D56" s="135"/>
      <c r="E56" s="135"/>
      <c r="F56" s="135"/>
      <c r="G56" s="135"/>
      <c r="H56" s="160"/>
      <c r="I56" s="160"/>
      <c r="J56" s="135"/>
      <c r="K56" s="135"/>
      <c r="L56" s="135"/>
      <c r="M56" s="135"/>
      <c r="N56" s="135"/>
      <c r="O56" s="160"/>
      <c r="P56" s="160"/>
      <c r="Q56" s="135"/>
      <c r="R56" s="135"/>
      <c r="S56" s="135"/>
      <c r="T56" s="135"/>
      <c r="U56" s="135"/>
      <c r="V56" s="160"/>
      <c r="W56" s="160"/>
      <c r="X56" s="135"/>
      <c r="Y56" s="135"/>
      <c r="Z56" s="135"/>
      <c r="AA56" s="135"/>
      <c r="AB56" s="135"/>
      <c r="AC56" s="160"/>
      <c r="AD56" s="160"/>
      <c r="AE56" s="168"/>
      <c r="AF56" s="168"/>
      <c r="AG56" s="168"/>
      <c r="AH56" s="166"/>
      <c r="AI56" s="135"/>
      <c r="AJ56" s="160"/>
      <c r="AK56" s="160"/>
      <c r="AL56" s="135"/>
      <c r="AM56" s="135"/>
      <c r="AN56" s="135"/>
      <c r="AO56" s="135"/>
      <c r="AP56" s="135"/>
      <c r="AQ56" s="160"/>
      <c r="AR56" s="160"/>
      <c r="AS56" s="55"/>
      <c r="AT56" s="55"/>
      <c r="AU56" s="55"/>
      <c r="AV56" s="55"/>
      <c r="AW56" s="55"/>
      <c r="AX56" s="159"/>
      <c r="AY56" s="159"/>
      <c r="AZ56" s="55"/>
      <c r="BA56" s="55"/>
      <c r="BB56" s="55"/>
      <c r="BC56" s="55"/>
      <c r="BD56" s="55"/>
      <c r="BE56" s="159"/>
      <c r="BF56" s="159"/>
      <c r="BG56" s="55"/>
      <c r="BH56" s="55"/>
      <c r="BI56" s="55"/>
      <c r="BJ56" s="163"/>
      <c r="BK56" s="55"/>
      <c r="BL56" s="159"/>
      <c r="BM56" s="159"/>
      <c r="BN56" s="55"/>
      <c r="BO56" s="55"/>
      <c r="BP56" s="55"/>
      <c r="BQ56" s="55"/>
      <c r="BR56" s="55"/>
      <c r="BS56" s="159"/>
      <c r="BT56" s="159"/>
      <c r="BU56" s="55"/>
      <c r="BV56" s="55"/>
      <c r="BW56" s="55"/>
      <c r="BX56" s="55"/>
      <c r="BY56" s="55"/>
      <c r="BZ56" s="159"/>
      <c r="CA56" s="159"/>
      <c r="CB56" s="55"/>
      <c r="CC56" s="55"/>
      <c r="CD56" s="55"/>
      <c r="CE56" s="55"/>
      <c r="CF56" s="164" t="s">
        <v>191</v>
      </c>
      <c r="CG56" s="159"/>
      <c r="CH56" s="159"/>
      <c r="CI56" s="156"/>
      <c r="CJ56" s="156"/>
      <c r="CK56" s="156"/>
      <c r="CL56" s="156"/>
      <c r="CM56" s="156"/>
      <c r="CN56" s="155"/>
      <c r="CO56" s="155"/>
      <c r="CP56" s="156"/>
      <c r="CQ56" s="156"/>
      <c r="CR56" s="156"/>
      <c r="CS56" s="156"/>
      <c r="CT56" s="156"/>
      <c r="CU56" s="155"/>
      <c r="CV56" s="155"/>
      <c r="CW56" s="156"/>
      <c r="CX56" s="156"/>
      <c r="CY56" s="156"/>
      <c r="CZ56" s="156"/>
      <c r="DA56" s="156"/>
      <c r="DB56" s="155"/>
      <c r="DC56" s="155"/>
      <c r="DD56" s="156"/>
      <c r="DE56" s="156"/>
      <c r="DF56" s="156"/>
      <c r="DG56" s="156"/>
      <c r="DH56" s="156"/>
      <c r="DI56" s="155"/>
      <c r="DJ56" s="155"/>
      <c r="DK56" s="156"/>
      <c r="DL56" s="156"/>
      <c r="DM56" s="156"/>
      <c r="DN56" s="156"/>
      <c r="DO56" s="156"/>
      <c r="DP56" s="155"/>
      <c r="DQ56" s="155"/>
      <c r="DR56" s="156"/>
      <c r="DS56" s="156"/>
      <c r="DT56" s="156"/>
      <c r="DU56" s="156"/>
      <c r="DV56" s="156"/>
    </row>
    <row r="57" ht="15.75" customHeight="1">
      <c r="A57" s="146"/>
      <c r="B57" s="165" t="s">
        <v>106</v>
      </c>
      <c r="C57" s="135"/>
      <c r="D57" s="135"/>
      <c r="E57" s="135"/>
      <c r="F57" s="135"/>
      <c r="G57" s="135"/>
      <c r="H57" s="160"/>
      <c r="I57" s="160"/>
      <c r="J57" s="135"/>
      <c r="K57" s="135"/>
      <c r="L57" s="135"/>
      <c r="M57" s="135"/>
      <c r="N57" s="135"/>
      <c r="O57" s="160"/>
      <c r="P57" s="160"/>
      <c r="Q57" s="135"/>
      <c r="R57" s="135"/>
      <c r="S57" s="135"/>
      <c r="T57" s="135"/>
      <c r="U57" s="135"/>
      <c r="V57" s="160"/>
      <c r="W57" s="160"/>
      <c r="X57" s="135"/>
      <c r="Y57" s="135"/>
      <c r="Z57" s="135"/>
      <c r="AA57" s="135"/>
      <c r="AB57" s="135"/>
      <c r="AC57" s="160"/>
      <c r="AD57" s="160"/>
      <c r="AE57" s="168"/>
      <c r="AF57" s="168"/>
      <c r="AG57" s="168"/>
      <c r="AH57" s="166"/>
      <c r="AI57" s="135"/>
      <c r="AJ57" s="160"/>
      <c r="AK57" s="160"/>
      <c r="AL57" s="135"/>
      <c r="AM57" s="135"/>
      <c r="AN57" s="135"/>
      <c r="AO57" s="135"/>
      <c r="AP57" s="135"/>
      <c r="AQ57" s="160"/>
      <c r="AR57" s="160"/>
      <c r="AS57" s="55"/>
      <c r="AT57" s="55"/>
      <c r="AU57" s="55"/>
      <c r="AV57" s="55"/>
      <c r="AW57" s="55"/>
      <c r="AX57" s="159"/>
      <c r="AY57" s="159"/>
      <c r="AZ57" s="55"/>
      <c r="BA57" s="55"/>
      <c r="BB57" s="55"/>
      <c r="BC57" s="55"/>
      <c r="BD57" s="55"/>
      <c r="BE57" s="159"/>
      <c r="BF57" s="159"/>
      <c r="BG57" s="55"/>
      <c r="BH57" s="55"/>
      <c r="BI57" s="55"/>
      <c r="BJ57" s="163"/>
      <c r="BK57" s="55"/>
      <c r="BL57" s="159"/>
      <c r="BM57" s="159"/>
      <c r="BN57" s="55"/>
      <c r="BO57" s="55"/>
      <c r="BP57" s="55"/>
      <c r="BQ57" s="55"/>
      <c r="BR57" s="55"/>
      <c r="BS57" s="159"/>
      <c r="BT57" s="159"/>
      <c r="BU57" s="55"/>
      <c r="BV57" s="55"/>
      <c r="BW57" s="55"/>
      <c r="BX57" s="55"/>
      <c r="BY57" s="55"/>
      <c r="BZ57" s="159"/>
      <c r="CA57" s="159"/>
      <c r="CB57" s="55"/>
      <c r="CC57" s="55"/>
      <c r="CD57" s="55"/>
      <c r="CE57" s="55"/>
      <c r="CF57" s="55"/>
      <c r="CG57" s="159"/>
      <c r="CH57" s="159"/>
      <c r="CI57" s="180"/>
      <c r="CJ57" s="156"/>
      <c r="CK57" s="156"/>
      <c r="CL57" s="156"/>
      <c r="CM57" s="156"/>
      <c r="CN57" s="155"/>
      <c r="CO57" s="155"/>
      <c r="CP57" s="156"/>
      <c r="CQ57" s="156"/>
      <c r="CR57" s="156"/>
      <c r="CS57" s="156"/>
      <c r="CT57" s="156"/>
      <c r="CU57" s="155"/>
      <c r="CV57" s="155"/>
      <c r="CW57" s="156"/>
      <c r="CX57" s="156"/>
      <c r="CY57" s="156"/>
      <c r="CZ57" s="156"/>
      <c r="DA57" s="156"/>
      <c r="DB57" s="155"/>
      <c r="DC57" s="155"/>
      <c r="DD57" s="156"/>
      <c r="DE57" s="156"/>
      <c r="DF57" s="156"/>
      <c r="DG57" s="156"/>
      <c r="DH57" s="156"/>
      <c r="DI57" s="155"/>
      <c r="DJ57" s="155"/>
      <c r="DK57" s="156"/>
      <c r="DL57" s="156"/>
      <c r="DM57" s="156"/>
      <c r="DN57" s="156"/>
      <c r="DO57" s="156"/>
      <c r="DP57" s="155"/>
      <c r="DQ57" s="155"/>
      <c r="DR57" s="156"/>
      <c r="DS57" s="156"/>
      <c r="DT57" s="156"/>
      <c r="DU57" s="156"/>
      <c r="DV57" s="156"/>
    </row>
    <row r="58" ht="15.75" customHeight="1">
      <c r="A58" s="146"/>
      <c r="B58" s="167" t="s">
        <v>107</v>
      </c>
      <c r="C58" s="135"/>
      <c r="D58" s="135"/>
      <c r="E58" s="135"/>
      <c r="F58" s="135"/>
      <c r="G58" s="135"/>
      <c r="H58" s="160"/>
      <c r="I58" s="160"/>
      <c r="J58" s="135"/>
      <c r="K58" s="135"/>
      <c r="L58" s="135"/>
      <c r="M58" s="135"/>
      <c r="N58" s="135"/>
      <c r="O58" s="160"/>
      <c r="P58" s="160"/>
      <c r="Q58" s="135"/>
      <c r="R58" s="135"/>
      <c r="S58" s="135"/>
      <c r="T58" s="135"/>
      <c r="U58" s="135"/>
      <c r="V58" s="160"/>
      <c r="W58" s="160"/>
      <c r="X58" s="135"/>
      <c r="Y58" s="135"/>
      <c r="Z58" s="135"/>
      <c r="AA58" s="135"/>
      <c r="AB58" s="135"/>
      <c r="AC58" s="160"/>
      <c r="AD58" s="160"/>
      <c r="AE58" s="168"/>
      <c r="AF58" s="168"/>
      <c r="AG58" s="168"/>
      <c r="AH58" s="166"/>
      <c r="AI58" s="135"/>
      <c r="AJ58" s="160"/>
      <c r="AK58" s="160"/>
      <c r="AL58" s="135"/>
      <c r="AM58" s="135"/>
      <c r="AN58" s="135"/>
      <c r="AO58" s="135"/>
      <c r="AP58" s="135"/>
      <c r="AQ58" s="160"/>
      <c r="AR58" s="160"/>
      <c r="AS58" s="55"/>
      <c r="AT58" s="55"/>
      <c r="AU58" s="55"/>
      <c r="AV58" s="55"/>
      <c r="AW58" s="55"/>
      <c r="AX58" s="159"/>
      <c r="AY58" s="159"/>
      <c r="AZ58" s="55"/>
      <c r="BA58" s="55"/>
      <c r="BB58" s="55"/>
      <c r="BC58" s="55"/>
      <c r="BD58" s="55"/>
      <c r="BE58" s="159"/>
      <c r="BF58" s="159"/>
      <c r="BG58" s="55"/>
      <c r="BH58" s="55"/>
      <c r="BI58" s="55"/>
      <c r="BJ58" s="163"/>
      <c r="BK58" s="55"/>
      <c r="BL58" s="159"/>
      <c r="BM58" s="159"/>
      <c r="BN58" s="55"/>
      <c r="BO58" s="55"/>
      <c r="BP58" s="55"/>
      <c r="BQ58" s="55"/>
      <c r="BR58" s="55"/>
      <c r="BS58" s="159"/>
      <c r="BT58" s="159"/>
      <c r="BU58" s="55"/>
      <c r="BV58" s="55"/>
      <c r="BW58" s="55"/>
      <c r="BX58" s="55"/>
      <c r="BY58" s="55"/>
      <c r="BZ58" s="159"/>
      <c r="CA58" s="159"/>
      <c r="CB58" s="55"/>
      <c r="CC58" s="55"/>
      <c r="CD58" s="55"/>
      <c r="CE58" s="55"/>
      <c r="CF58" s="55"/>
      <c r="CG58" s="159"/>
      <c r="CH58" s="159"/>
      <c r="CI58" s="156"/>
      <c r="CJ58" s="156"/>
      <c r="CK58" s="156"/>
      <c r="CL58" s="156"/>
      <c r="CM58" s="156"/>
      <c r="CN58" s="155"/>
      <c r="CO58" s="155"/>
      <c r="CP58" s="156"/>
      <c r="CQ58" s="156"/>
      <c r="CR58" s="156"/>
      <c r="CS58" s="156"/>
      <c r="CT58" s="156"/>
      <c r="CU58" s="155"/>
      <c r="CV58" s="155"/>
      <c r="CW58" s="156"/>
      <c r="CX58" s="156"/>
      <c r="CY58" s="156"/>
      <c r="CZ58" s="156"/>
      <c r="DA58" s="156"/>
      <c r="DB58" s="155"/>
      <c r="DC58" s="155"/>
      <c r="DD58" s="156"/>
      <c r="DE58" s="156"/>
      <c r="DF58" s="156"/>
      <c r="DG58" s="156"/>
      <c r="DH58" s="156"/>
      <c r="DI58" s="155"/>
      <c r="DJ58" s="155"/>
      <c r="DK58" s="156"/>
      <c r="DL58" s="156"/>
      <c r="DM58" s="156"/>
      <c r="DN58" s="156"/>
      <c r="DO58" s="156"/>
      <c r="DP58" s="155"/>
      <c r="DQ58" s="155"/>
      <c r="DR58" s="156"/>
      <c r="DS58" s="156"/>
      <c r="DT58" s="156"/>
      <c r="DU58" s="156"/>
      <c r="DV58" s="156"/>
    </row>
    <row r="59" ht="15.75" customHeight="1">
      <c r="A59" s="146"/>
      <c r="B59" s="165" t="s">
        <v>110</v>
      </c>
      <c r="C59" s="135"/>
      <c r="D59" s="135"/>
      <c r="E59" s="135"/>
      <c r="F59" s="135"/>
      <c r="G59" s="135"/>
      <c r="H59" s="160"/>
      <c r="I59" s="160"/>
      <c r="J59" s="135"/>
      <c r="K59" s="135"/>
      <c r="L59" s="135"/>
      <c r="M59" s="135"/>
      <c r="N59" s="135"/>
      <c r="O59" s="160"/>
      <c r="P59" s="160"/>
      <c r="Q59" s="135"/>
      <c r="R59" s="135"/>
      <c r="S59" s="135"/>
      <c r="T59" s="135"/>
      <c r="U59" s="135"/>
      <c r="V59" s="160"/>
      <c r="W59" s="160"/>
      <c r="X59" s="135"/>
      <c r="Y59" s="135"/>
      <c r="Z59" s="135"/>
      <c r="AA59" s="135"/>
      <c r="AB59" s="135"/>
      <c r="AC59" s="160"/>
      <c r="AD59" s="160"/>
      <c r="AE59" s="168"/>
      <c r="AF59" s="168"/>
      <c r="AG59" s="168"/>
      <c r="AH59" s="166"/>
      <c r="AI59" s="135"/>
      <c r="AJ59" s="160"/>
      <c r="AK59" s="160"/>
      <c r="AL59" s="135"/>
      <c r="AM59" s="135"/>
      <c r="AN59" s="135"/>
      <c r="AO59" s="135"/>
      <c r="AP59" s="135"/>
      <c r="AQ59" s="160"/>
      <c r="AR59" s="160"/>
      <c r="AS59" s="55"/>
      <c r="AT59" s="55"/>
      <c r="AU59" s="55"/>
      <c r="AV59" s="55"/>
      <c r="AW59" s="55"/>
      <c r="AX59" s="159"/>
      <c r="AY59" s="159"/>
      <c r="AZ59" s="55"/>
      <c r="BA59" s="55"/>
      <c r="BB59" s="55"/>
      <c r="BC59" s="55"/>
      <c r="BD59" s="55"/>
      <c r="BE59" s="159"/>
      <c r="BF59" s="159"/>
      <c r="BG59" s="55"/>
      <c r="BH59" s="55"/>
      <c r="BI59" s="55"/>
      <c r="BJ59" s="163"/>
      <c r="BK59" s="55"/>
      <c r="BL59" s="159"/>
      <c r="BM59" s="159"/>
      <c r="BN59" s="55"/>
      <c r="BO59" s="55"/>
      <c r="BP59" s="55"/>
      <c r="BQ59" s="55"/>
      <c r="BR59" s="55"/>
      <c r="BS59" s="159"/>
      <c r="BT59" s="159"/>
      <c r="BU59" s="55"/>
      <c r="BV59" s="55"/>
      <c r="BW59" s="55"/>
      <c r="BX59" s="55"/>
      <c r="BY59" s="55"/>
      <c r="BZ59" s="159"/>
      <c r="CA59" s="159"/>
      <c r="CB59" s="55"/>
      <c r="CC59" s="55"/>
      <c r="CD59" s="55"/>
      <c r="CE59" s="55"/>
      <c r="CF59" s="55"/>
      <c r="CG59" s="159"/>
      <c r="CH59" s="159"/>
      <c r="CI59" s="156"/>
      <c r="CJ59" s="181"/>
      <c r="CK59" s="156"/>
      <c r="CL59" s="156"/>
      <c r="CM59" s="156"/>
      <c r="CN59" s="155"/>
      <c r="CO59" s="155"/>
      <c r="CP59" s="156"/>
      <c r="CQ59" s="156"/>
      <c r="CR59" s="156"/>
      <c r="CS59" s="156"/>
      <c r="CT59" s="156"/>
      <c r="CU59" s="155"/>
      <c r="CV59" s="155"/>
      <c r="CW59" s="156"/>
      <c r="CX59" s="156"/>
      <c r="CY59" s="156"/>
      <c r="CZ59" s="156"/>
      <c r="DA59" s="156"/>
      <c r="DB59" s="155"/>
      <c r="DC59" s="155"/>
      <c r="DD59" s="156"/>
      <c r="DE59" s="156"/>
      <c r="DF59" s="156"/>
      <c r="DG59" s="156"/>
      <c r="DH59" s="156"/>
      <c r="DI59" s="155"/>
      <c r="DJ59" s="155"/>
      <c r="DK59" s="156"/>
      <c r="DL59" s="156"/>
      <c r="DM59" s="156"/>
      <c r="DN59" s="156"/>
      <c r="DO59" s="156"/>
      <c r="DP59" s="155"/>
      <c r="DQ59" s="155"/>
      <c r="DR59" s="156"/>
      <c r="DS59" s="156"/>
      <c r="DT59" s="156"/>
      <c r="DU59" s="156"/>
      <c r="DV59" s="156"/>
    </row>
    <row r="60" ht="15.75" customHeight="1">
      <c r="A60" s="146"/>
      <c r="B60" s="165" t="s">
        <v>232</v>
      </c>
      <c r="C60" s="135"/>
      <c r="D60" s="135"/>
      <c r="E60" s="135"/>
      <c r="F60" s="135"/>
      <c r="G60" s="135"/>
      <c r="H60" s="160"/>
      <c r="I60" s="160"/>
      <c r="J60" s="135"/>
      <c r="K60" s="135"/>
      <c r="L60" s="135"/>
      <c r="M60" s="135"/>
      <c r="N60" s="135"/>
      <c r="O60" s="160"/>
      <c r="P60" s="160"/>
      <c r="Q60" s="135"/>
      <c r="R60" s="135"/>
      <c r="S60" s="135"/>
      <c r="T60" s="135"/>
      <c r="U60" s="135"/>
      <c r="V60" s="160"/>
      <c r="W60" s="160"/>
      <c r="X60" s="135"/>
      <c r="Y60" s="135"/>
      <c r="Z60" s="135"/>
      <c r="AA60" s="135"/>
      <c r="AB60" s="135"/>
      <c r="AC60" s="160"/>
      <c r="AD60" s="160"/>
      <c r="AE60" s="168"/>
      <c r="AF60" s="168"/>
      <c r="AG60" s="168"/>
      <c r="AH60" s="166"/>
      <c r="AI60" s="135"/>
      <c r="AJ60" s="160"/>
      <c r="AK60" s="160"/>
      <c r="AL60" s="135"/>
      <c r="AM60" s="135"/>
      <c r="AN60" s="135"/>
      <c r="AO60" s="135"/>
      <c r="AP60" s="135"/>
      <c r="AQ60" s="160"/>
      <c r="AR60" s="160"/>
      <c r="AS60" s="55"/>
      <c r="AT60" s="55"/>
      <c r="AU60" s="55"/>
      <c r="AV60" s="55"/>
      <c r="AW60" s="55"/>
      <c r="AX60" s="159"/>
      <c r="AY60" s="159"/>
      <c r="AZ60" s="55"/>
      <c r="BA60" s="55"/>
      <c r="BB60" s="55"/>
      <c r="BC60" s="55"/>
      <c r="BD60" s="55"/>
      <c r="BE60" s="159"/>
      <c r="BF60" s="159"/>
      <c r="BG60" s="55"/>
      <c r="BH60" s="55"/>
      <c r="BI60" s="55"/>
      <c r="BJ60" s="163"/>
      <c r="BK60" s="55"/>
      <c r="BL60" s="159"/>
      <c r="BM60" s="159"/>
      <c r="BN60" s="55"/>
      <c r="BO60" s="55"/>
      <c r="BP60" s="55"/>
      <c r="BQ60" s="55"/>
      <c r="BR60" s="55"/>
      <c r="BS60" s="159"/>
      <c r="BT60" s="159"/>
      <c r="BU60" s="55"/>
      <c r="BV60" s="55"/>
      <c r="BW60" s="55"/>
      <c r="BX60" s="55"/>
      <c r="BY60" s="55"/>
      <c r="BZ60" s="159"/>
      <c r="CA60" s="159"/>
      <c r="CB60" s="55"/>
      <c r="CC60" s="55"/>
      <c r="CD60" s="55"/>
      <c r="CE60" s="55"/>
      <c r="CF60" s="55"/>
      <c r="CG60" s="159"/>
      <c r="CH60" s="159"/>
      <c r="CI60" s="156"/>
      <c r="CJ60" s="156"/>
      <c r="CK60" s="181"/>
      <c r="CL60" s="181"/>
      <c r="CM60" s="156"/>
      <c r="CN60" s="155"/>
      <c r="CO60" s="155"/>
      <c r="CP60" s="156"/>
      <c r="CQ60" s="156"/>
      <c r="CR60" s="156"/>
      <c r="CS60" s="156"/>
      <c r="CT60" s="156"/>
      <c r="CU60" s="155"/>
      <c r="CV60" s="155"/>
      <c r="CW60" s="156"/>
      <c r="CX60" s="156"/>
      <c r="CY60" s="156"/>
      <c r="CZ60" s="156"/>
      <c r="DA60" s="156"/>
      <c r="DB60" s="155"/>
      <c r="DC60" s="155"/>
      <c r="DD60" s="156"/>
      <c r="DE60" s="156"/>
      <c r="DF60" s="156"/>
      <c r="DG60" s="156"/>
      <c r="DH60" s="156"/>
      <c r="DI60" s="155"/>
      <c r="DJ60" s="155"/>
      <c r="DK60" s="156"/>
      <c r="DL60" s="156"/>
      <c r="DM60" s="156"/>
      <c r="DN60" s="156"/>
      <c r="DO60" s="156"/>
      <c r="DP60" s="155"/>
      <c r="DQ60" s="155"/>
      <c r="DR60" s="156"/>
      <c r="DS60" s="156"/>
      <c r="DT60" s="156"/>
      <c r="DU60" s="156"/>
      <c r="DV60" s="156"/>
    </row>
    <row r="61" ht="15.75" customHeight="1">
      <c r="A61" s="146"/>
      <c r="B61" s="165" t="s">
        <v>233</v>
      </c>
      <c r="C61" s="135"/>
      <c r="D61" s="135"/>
      <c r="E61" s="135"/>
      <c r="F61" s="135"/>
      <c r="G61" s="135"/>
      <c r="H61" s="160"/>
      <c r="I61" s="160"/>
      <c r="J61" s="135"/>
      <c r="K61" s="135"/>
      <c r="L61" s="135"/>
      <c r="M61" s="135"/>
      <c r="N61" s="135"/>
      <c r="O61" s="160"/>
      <c r="P61" s="160"/>
      <c r="Q61" s="135"/>
      <c r="R61" s="135"/>
      <c r="S61" s="135"/>
      <c r="T61" s="135"/>
      <c r="U61" s="135"/>
      <c r="V61" s="160"/>
      <c r="W61" s="160"/>
      <c r="X61" s="135"/>
      <c r="Y61" s="135"/>
      <c r="Z61" s="135"/>
      <c r="AA61" s="135"/>
      <c r="AB61" s="135"/>
      <c r="AC61" s="160"/>
      <c r="AD61" s="160"/>
      <c r="AE61" s="168"/>
      <c r="AF61" s="168"/>
      <c r="AG61" s="168"/>
      <c r="AH61" s="166"/>
      <c r="AI61" s="135"/>
      <c r="AJ61" s="160"/>
      <c r="AK61" s="160"/>
      <c r="AL61" s="135"/>
      <c r="AM61" s="135"/>
      <c r="AN61" s="135"/>
      <c r="AO61" s="85"/>
      <c r="AP61" s="85"/>
      <c r="AQ61" s="182"/>
      <c r="AR61" s="182"/>
      <c r="AS61" s="85"/>
      <c r="AT61" s="85"/>
      <c r="AU61" s="85"/>
      <c r="AV61" s="85"/>
      <c r="AW61" s="85"/>
      <c r="AX61" s="182"/>
      <c r="AY61" s="182"/>
      <c r="AZ61" s="85"/>
      <c r="BA61" s="85"/>
      <c r="BB61" s="85"/>
      <c r="BC61" s="85"/>
      <c r="BD61" s="85"/>
      <c r="BE61" s="182"/>
      <c r="BF61" s="182"/>
      <c r="BG61" s="85"/>
      <c r="BH61" s="85"/>
      <c r="BI61" s="85"/>
      <c r="BJ61" s="85"/>
      <c r="BK61" s="85"/>
      <c r="BL61" s="182"/>
      <c r="BM61" s="182"/>
      <c r="BN61" s="85"/>
      <c r="BO61" s="85"/>
      <c r="BP61" s="85"/>
      <c r="BQ61" s="85"/>
      <c r="BR61" s="85"/>
      <c r="BS61" s="182"/>
      <c r="BT61" s="182"/>
      <c r="BU61" s="183"/>
      <c r="BV61" s="183"/>
      <c r="BW61" s="183"/>
      <c r="BX61" s="183"/>
      <c r="BY61" s="183"/>
      <c r="BZ61" s="182"/>
      <c r="CA61" s="182"/>
      <c r="CB61" s="153"/>
      <c r="CC61" s="153"/>
      <c r="CD61" s="153"/>
      <c r="CE61" s="100"/>
      <c r="CF61" s="100"/>
      <c r="CG61" s="182"/>
      <c r="CH61" s="182"/>
      <c r="CI61" s="100"/>
      <c r="CJ61" s="100"/>
      <c r="CK61" s="100"/>
      <c r="CL61" s="85"/>
      <c r="CM61" s="181"/>
      <c r="CN61" s="182"/>
      <c r="CO61" s="155"/>
      <c r="CP61" s="156"/>
      <c r="CQ61" s="156"/>
      <c r="CR61" s="156"/>
      <c r="CS61" s="156"/>
      <c r="CT61" s="156"/>
      <c r="CU61" s="155"/>
      <c r="CV61" s="155"/>
      <c r="CW61" s="156"/>
      <c r="CX61" s="156"/>
      <c r="CY61" s="156"/>
      <c r="CZ61" s="156"/>
      <c r="DA61" s="156"/>
      <c r="DB61" s="155"/>
      <c r="DC61" s="155"/>
      <c r="DD61" s="156"/>
      <c r="DE61" s="156"/>
      <c r="DF61" s="156"/>
      <c r="DG61" s="156"/>
      <c r="DH61" s="156"/>
      <c r="DI61" s="155"/>
      <c r="DJ61" s="155"/>
      <c r="DK61" s="156"/>
      <c r="DL61" s="156"/>
      <c r="DM61" s="156"/>
      <c r="DN61" s="156"/>
      <c r="DO61" s="156"/>
      <c r="DP61" s="155"/>
      <c r="DQ61" s="155"/>
      <c r="DR61" s="156"/>
      <c r="DS61" s="156"/>
      <c r="DT61" s="156"/>
      <c r="DU61" s="156"/>
      <c r="DV61" s="156"/>
    </row>
    <row r="62" ht="15.75" customHeight="1">
      <c r="A62" s="146"/>
      <c r="B62" s="147" t="s">
        <v>16</v>
      </c>
      <c r="C62" s="184"/>
      <c r="D62" s="85"/>
      <c r="E62" s="85"/>
      <c r="F62" s="85"/>
      <c r="G62" s="85"/>
      <c r="H62" s="182"/>
      <c r="I62" s="182"/>
      <c r="J62" s="85"/>
      <c r="K62" s="85"/>
      <c r="L62" s="85"/>
      <c r="M62" s="85"/>
      <c r="N62" s="85"/>
      <c r="O62" s="182"/>
      <c r="P62" s="182"/>
      <c r="Q62" s="85"/>
      <c r="R62" s="85"/>
      <c r="S62" s="85"/>
      <c r="T62" s="85"/>
      <c r="U62" s="85"/>
      <c r="V62" s="182"/>
      <c r="W62" s="182"/>
      <c r="X62" s="85"/>
      <c r="Y62" s="85"/>
      <c r="Z62" s="183"/>
      <c r="AA62" s="183"/>
      <c r="AB62" s="85"/>
      <c r="AC62" s="182"/>
      <c r="AD62" s="182"/>
      <c r="AE62" s="176"/>
      <c r="AF62" s="176"/>
      <c r="AG62" s="176"/>
      <c r="AH62" s="176"/>
      <c r="AI62" s="85"/>
      <c r="AJ62" s="182"/>
      <c r="AK62" s="182"/>
      <c r="AL62" s="85"/>
      <c r="AM62" s="85"/>
      <c r="AN62" s="85"/>
      <c r="AO62" s="85"/>
      <c r="AP62" s="85"/>
      <c r="AQ62" s="182"/>
      <c r="AR62" s="182"/>
      <c r="AS62" s="85"/>
      <c r="AT62" s="85"/>
      <c r="AU62" s="85"/>
      <c r="AV62" s="85"/>
      <c r="AW62" s="85"/>
      <c r="AX62" s="182"/>
      <c r="AY62" s="182"/>
      <c r="AZ62" s="85"/>
      <c r="BA62" s="85"/>
      <c r="BB62" s="85"/>
      <c r="BC62" s="85"/>
      <c r="BD62" s="85"/>
      <c r="BE62" s="182"/>
      <c r="BF62" s="182"/>
      <c r="BG62" s="85"/>
      <c r="BH62" s="85"/>
      <c r="BI62" s="85"/>
      <c r="BJ62" s="85"/>
      <c r="BK62" s="85"/>
      <c r="BL62" s="182"/>
      <c r="BM62" s="182"/>
      <c r="BN62" s="85"/>
      <c r="BO62" s="85"/>
      <c r="BP62" s="85"/>
      <c r="BQ62" s="85"/>
      <c r="BR62" s="100"/>
      <c r="BS62" s="182"/>
      <c r="BT62" s="182"/>
      <c r="BU62" s="100"/>
      <c r="BV62" s="100"/>
      <c r="BW62" s="100"/>
      <c r="BX62" s="85"/>
      <c r="BY62" s="85"/>
      <c r="BZ62" s="182"/>
      <c r="CA62" s="182"/>
      <c r="CB62" s="85"/>
      <c r="CC62" s="85"/>
      <c r="CD62" s="85"/>
      <c r="CE62" s="173"/>
      <c r="CF62" s="100"/>
      <c r="CG62" s="182"/>
      <c r="CH62" s="182"/>
      <c r="CI62" s="100"/>
      <c r="CJ62" s="100"/>
      <c r="CK62" s="100"/>
      <c r="CL62" s="100"/>
      <c r="CM62" s="100"/>
      <c r="CN62" s="182"/>
      <c r="CO62" s="182"/>
      <c r="CP62" s="85"/>
      <c r="CQ62" s="85"/>
      <c r="CR62" s="85"/>
      <c r="CS62" s="85"/>
      <c r="CT62" s="156"/>
      <c r="CU62" s="155"/>
      <c r="CV62" s="155"/>
      <c r="CW62" s="185"/>
      <c r="CX62" s="185"/>
      <c r="CY62" s="185"/>
      <c r="CZ62" s="185"/>
      <c r="DA62" s="185"/>
      <c r="DB62" s="155"/>
      <c r="DC62" s="155"/>
      <c r="DD62" s="154"/>
      <c r="DE62" s="154"/>
      <c r="DF62" s="154"/>
      <c r="DG62" s="154"/>
      <c r="DH62" s="154"/>
      <c r="DI62" s="155"/>
      <c r="DJ62" s="155"/>
      <c r="DK62" s="156"/>
      <c r="DL62" s="156"/>
      <c r="DM62" s="156"/>
      <c r="DN62" s="156"/>
      <c r="DO62" s="156"/>
      <c r="DP62" s="155"/>
      <c r="DQ62" s="155"/>
      <c r="DR62" s="156"/>
      <c r="DS62" s="156"/>
      <c r="DT62" s="156"/>
      <c r="DU62" s="156"/>
      <c r="DV62" s="156"/>
    </row>
    <row r="63" ht="15.75" customHeight="1">
      <c r="A63" s="186">
        <v>46.0</v>
      </c>
      <c r="B63" s="165" t="s">
        <v>234</v>
      </c>
      <c r="C63" s="85"/>
      <c r="D63" s="85"/>
      <c r="E63" s="85"/>
      <c r="F63" s="85"/>
      <c r="G63" s="85"/>
      <c r="H63" s="182"/>
      <c r="I63" s="182"/>
      <c r="J63" s="85"/>
      <c r="K63" s="85"/>
      <c r="L63" s="85"/>
      <c r="M63" s="85"/>
      <c r="N63" s="85"/>
      <c r="O63" s="182"/>
      <c r="P63" s="182"/>
      <c r="Q63" s="85"/>
      <c r="R63" s="85"/>
      <c r="S63" s="85"/>
      <c r="T63" s="85"/>
      <c r="U63" s="85"/>
      <c r="V63" s="182"/>
      <c r="W63" s="182"/>
      <c r="X63" s="85"/>
      <c r="Y63" s="85"/>
      <c r="Z63" s="183"/>
      <c r="AA63" s="183"/>
      <c r="AB63" s="85"/>
      <c r="AC63" s="182"/>
      <c r="AD63" s="182"/>
      <c r="AE63" s="85"/>
      <c r="AF63" s="85"/>
      <c r="AG63" s="85"/>
      <c r="AH63" s="85"/>
      <c r="AI63" s="85"/>
      <c r="AJ63" s="182"/>
      <c r="AK63" s="182"/>
      <c r="AL63" s="153"/>
      <c r="AM63" s="153"/>
      <c r="AN63" s="153"/>
      <c r="AO63" s="153"/>
      <c r="AP63" s="153"/>
      <c r="AQ63" s="182"/>
      <c r="AR63" s="182"/>
      <c r="AS63" s="153"/>
      <c r="AT63" s="153"/>
      <c r="AU63" s="153"/>
      <c r="AV63" s="153"/>
      <c r="AW63" s="153"/>
      <c r="AX63" s="182"/>
      <c r="AY63" s="182"/>
      <c r="AZ63" s="153"/>
      <c r="BA63" s="153"/>
      <c r="BB63" s="153"/>
      <c r="BC63" s="153"/>
      <c r="BD63" s="153"/>
      <c r="BE63" s="182"/>
      <c r="BF63" s="182"/>
      <c r="BG63" s="153"/>
      <c r="BH63" s="153"/>
      <c r="BI63" s="153"/>
      <c r="BJ63" s="153"/>
      <c r="BK63" s="153"/>
      <c r="BL63" s="182"/>
      <c r="BM63" s="182"/>
      <c r="BN63" s="153"/>
      <c r="BO63" s="153"/>
      <c r="BP63" s="153"/>
      <c r="BQ63" s="153"/>
      <c r="BR63" s="153"/>
      <c r="BS63" s="182"/>
      <c r="BT63" s="182"/>
      <c r="BU63" s="153"/>
      <c r="BV63" s="153"/>
      <c r="BW63" s="153"/>
      <c r="BX63" s="153"/>
      <c r="BY63" s="153"/>
      <c r="BZ63" s="182"/>
      <c r="CA63" s="182"/>
      <c r="CB63" s="153"/>
      <c r="CC63" s="153"/>
      <c r="CD63" s="153"/>
      <c r="CE63" s="153"/>
      <c r="CF63" s="153"/>
      <c r="CG63" s="182"/>
      <c r="CH63" s="182"/>
      <c r="CI63" s="187"/>
      <c r="CJ63" s="187"/>
      <c r="CK63" s="187"/>
      <c r="CL63" s="153"/>
      <c r="CM63" s="153"/>
      <c r="CN63" s="182"/>
      <c r="CO63" s="182"/>
      <c r="CP63" s="85"/>
      <c r="CQ63" s="85"/>
      <c r="CR63" s="85"/>
      <c r="CS63" s="85"/>
      <c r="CT63" s="156"/>
      <c r="CU63" s="155"/>
      <c r="CV63" s="155"/>
      <c r="CW63" s="156"/>
      <c r="CX63" s="156"/>
      <c r="CY63" s="156"/>
      <c r="CZ63" s="156"/>
      <c r="DA63" s="156"/>
      <c r="DB63" s="155"/>
      <c r="DC63" s="155"/>
      <c r="DD63" s="154"/>
      <c r="DE63" s="154"/>
      <c r="DF63" s="154"/>
      <c r="DG63" s="154"/>
      <c r="DH63" s="154"/>
      <c r="DI63" s="155"/>
      <c r="DJ63" s="155"/>
      <c r="DK63" s="156"/>
      <c r="DL63" s="156"/>
      <c r="DM63" s="156"/>
      <c r="DN63" s="156"/>
      <c r="DO63" s="156"/>
      <c r="DP63" s="155"/>
      <c r="DQ63" s="155"/>
      <c r="DR63" s="156"/>
      <c r="DS63" s="156"/>
      <c r="DT63" s="156"/>
      <c r="DU63" s="156"/>
      <c r="DV63" s="156"/>
    </row>
    <row r="64" ht="15.75" customHeight="1">
      <c r="A64" s="186">
        <v>47.0</v>
      </c>
      <c r="B64" s="165" t="s">
        <v>235</v>
      </c>
      <c r="C64" s="85"/>
      <c r="D64" s="85"/>
      <c r="E64" s="85"/>
      <c r="F64" s="85"/>
      <c r="G64" s="85"/>
      <c r="H64" s="182"/>
      <c r="I64" s="182"/>
      <c r="J64" s="85"/>
      <c r="K64" s="85"/>
      <c r="L64" s="85"/>
      <c r="M64" s="85"/>
      <c r="N64" s="85"/>
      <c r="O64" s="182"/>
      <c r="P64" s="182"/>
      <c r="Q64" s="85"/>
      <c r="R64" s="85"/>
      <c r="S64" s="85"/>
      <c r="T64" s="85"/>
      <c r="U64" s="85"/>
      <c r="V64" s="182"/>
      <c r="W64" s="182"/>
      <c r="X64" s="85"/>
      <c r="Y64" s="85"/>
      <c r="Z64" s="183"/>
      <c r="AA64" s="183"/>
      <c r="AB64" s="85"/>
      <c r="AC64" s="182"/>
      <c r="AD64" s="182"/>
      <c r="AE64" s="85"/>
      <c r="AF64" s="85"/>
      <c r="AG64" s="85"/>
      <c r="AH64" s="85"/>
      <c r="AI64" s="85"/>
      <c r="AJ64" s="182"/>
      <c r="AK64" s="182"/>
      <c r="AL64" s="85"/>
      <c r="AM64" s="85"/>
      <c r="AN64" s="85"/>
      <c r="AO64" s="85"/>
      <c r="AP64" s="85"/>
      <c r="AQ64" s="182"/>
      <c r="AR64" s="182"/>
      <c r="AS64" s="85"/>
      <c r="AT64" s="85"/>
      <c r="AU64" s="85"/>
      <c r="AV64" s="85"/>
      <c r="AW64" s="85"/>
      <c r="AX64" s="182"/>
      <c r="AY64" s="182"/>
      <c r="AZ64" s="85"/>
      <c r="BA64" s="85"/>
      <c r="BB64" s="85"/>
      <c r="BC64" s="85"/>
      <c r="BD64" s="85"/>
      <c r="BE64" s="182"/>
      <c r="BF64" s="182"/>
      <c r="BG64" s="85"/>
      <c r="BH64" s="85"/>
      <c r="BI64" s="85"/>
      <c r="BJ64" s="85"/>
      <c r="BK64" s="85"/>
      <c r="BL64" s="182"/>
      <c r="BM64" s="182"/>
      <c r="BN64" s="85"/>
      <c r="BO64" s="85"/>
      <c r="BP64" s="85"/>
      <c r="BQ64" s="85"/>
      <c r="BR64" s="85"/>
      <c r="BS64" s="182"/>
      <c r="BT64" s="182"/>
      <c r="BU64" s="100"/>
      <c r="BV64" s="100"/>
      <c r="BW64" s="100"/>
      <c r="BX64" s="85"/>
      <c r="BY64" s="100"/>
      <c r="BZ64" s="182"/>
      <c r="CA64" s="182"/>
      <c r="CB64" s="85"/>
      <c r="CC64" s="85"/>
      <c r="CD64" s="85"/>
      <c r="CE64" s="85"/>
      <c r="CF64" s="100"/>
      <c r="CG64" s="182"/>
      <c r="CH64" s="182"/>
      <c r="CI64" s="100"/>
      <c r="CJ64" s="188"/>
      <c r="CK64" s="100"/>
      <c r="CL64" s="187"/>
      <c r="CM64" s="187"/>
      <c r="CN64" s="182"/>
      <c r="CO64" s="182"/>
      <c r="CP64" s="85"/>
      <c r="CQ64" s="85"/>
      <c r="CR64" s="85"/>
      <c r="CS64" s="85"/>
      <c r="CT64" s="156"/>
      <c r="CU64" s="155"/>
      <c r="CV64" s="155"/>
      <c r="CW64" s="156"/>
      <c r="CX64" s="156"/>
      <c r="CY64" s="156"/>
      <c r="CZ64" s="156"/>
      <c r="DA64" s="185"/>
      <c r="DB64" s="155"/>
      <c r="DC64" s="155"/>
      <c r="DD64" s="154"/>
      <c r="DE64" s="154"/>
      <c r="DF64" s="154"/>
      <c r="DG64" s="154"/>
      <c r="DH64" s="154"/>
      <c r="DI64" s="155"/>
      <c r="DJ64" s="155"/>
      <c r="DK64" s="156"/>
      <c r="DL64" s="156"/>
      <c r="DM64" s="156"/>
      <c r="DN64" s="156"/>
      <c r="DO64" s="156"/>
      <c r="DP64" s="155"/>
      <c r="DQ64" s="155"/>
      <c r="DR64" s="156"/>
      <c r="DS64" s="156"/>
      <c r="DT64" s="156"/>
      <c r="DU64" s="156"/>
      <c r="DV64" s="156"/>
    </row>
    <row r="65" ht="15.75" customHeight="1">
      <c r="B65" s="189"/>
      <c r="C65" s="190" t="s">
        <v>170</v>
      </c>
      <c r="D65" s="190" t="s">
        <v>171</v>
      </c>
      <c r="E65" s="190" t="s">
        <v>171</v>
      </c>
      <c r="F65" s="190" t="s">
        <v>172</v>
      </c>
      <c r="G65" s="190" t="s">
        <v>173</v>
      </c>
      <c r="H65" s="190"/>
      <c r="I65" s="190"/>
      <c r="J65" s="191" t="s">
        <v>170</v>
      </c>
      <c r="K65" s="191" t="s">
        <v>171</v>
      </c>
      <c r="L65" s="191" t="s">
        <v>171</v>
      </c>
      <c r="M65" s="191" t="s">
        <v>172</v>
      </c>
      <c r="N65" s="191" t="s">
        <v>173</v>
      </c>
      <c r="O65" s="191"/>
      <c r="P65" s="191"/>
      <c r="Q65" s="190" t="s">
        <v>170</v>
      </c>
      <c r="R65" s="190" t="s">
        <v>171</v>
      </c>
      <c r="S65" s="190" t="s">
        <v>171</v>
      </c>
      <c r="T65" s="190" t="s">
        <v>172</v>
      </c>
      <c r="U65" s="190" t="s">
        <v>173</v>
      </c>
      <c r="V65" s="190"/>
      <c r="W65" s="190"/>
      <c r="X65" s="191" t="s">
        <v>170</v>
      </c>
      <c r="Y65" s="191" t="s">
        <v>171</v>
      </c>
      <c r="Z65" s="191" t="s">
        <v>171</v>
      </c>
      <c r="AA65" s="191" t="s">
        <v>172</v>
      </c>
      <c r="AB65" s="191" t="s">
        <v>173</v>
      </c>
      <c r="AC65" s="191"/>
      <c r="AD65" s="191"/>
      <c r="AE65" s="190" t="s">
        <v>170</v>
      </c>
      <c r="AF65" s="190" t="s">
        <v>171</v>
      </c>
      <c r="AG65" s="190" t="s">
        <v>171</v>
      </c>
      <c r="AH65" s="190" t="s">
        <v>172</v>
      </c>
      <c r="AI65" s="190" t="s">
        <v>173</v>
      </c>
      <c r="AJ65" s="190"/>
      <c r="AK65" s="190"/>
      <c r="AL65" s="191" t="s">
        <v>170</v>
      </c>
      <c r="AM65" s="191" t="s">
        <v>171</v>
      </c>
      <c r="AN65" s="191" t="s">
        <v>171</v>
      </c>
      <c r="AO65" s="191" t="s">
        <v>172</v>
      </c>
      <c r="AP65" s="191" t="s">
        <v>173</v>
      </c>
      <c r="AQ65" s="191"/>
      <c r="AR65" s="191"/>
      <c r="AS65" s="190" t="s">
        <v>170</v>
      </c>
      <c r="AT65" s="190" t="s">
        <v>171</v>
      </c>
      <c r="AU65" s="190" t="s">
        <v>171</v>
      </c>
      <c r="AV65" s="190" t="s">
        <v>172</v>
      </c>
      <c r="AW65" s="190" t="s">
        <v>173</v>
      </c>
      <c r="AX65" s="190"/>
      <c r="AY65" s="190"/>
      <c r="AZ65" s="191" t="s">
        <v>170</v>
      </c>
      <c r="BA65" s="191" t="s">
        <v>171</v>
      </c>
      <c r="BB65" s="191" t="s">
        <v>171</v>
      </c>
      <c r="BC65" s="191" t="s">
        <v>172</v>
      </c>
      <c r="BD65" s="191" t="s">
        <v>173</v>
      </c>
      <c r="BE65" s="191"/>
      <c r="BF65" s="191"/>
      <c r="BG65" s="190" t="s">
        <v>170</v>
      </c>
      <c r="BH65" s="190" t="s">
        <v>171</v>
      </c>
      <c r="BI65" s="190" t="s">
        <v>171</v>
      </c>
      <c r="BJ65" s="190" t="s">
        <v>172</v>
      </c>
      <c r="BK65" s="190" t="s">
        <v>173</v>
      </c>
      <c r="BL65" s="190"/>
      <c r="BM65" s="190"/>
      <c r="BN65" s="191" t="s">
        <v>170</v>
      </c>
      <c r="BO65" s="191" t="s">
        <v>171</v>
      </c>
      <c r="BP65" s="191" t="s">
        <v>171</v>
      </c>
      <c r="BQ65" s="191" t="s">
        <v>172</v>
      </c>
      <c r="BR65" s="191" t="s">
        <v>173</v>
      </c>
      <c r="BS65" s="191"/>
      <c r="BT65" s="191"/>
      <c r="BU65" s="191" t="s">
        <v>170</v>
      </c>
      <c r="BV65" s="191" t="s">
        <v>171</v>
      </c>
      <c r="BW65" s="191" t="s">
        <v>171</v>
      </c>
      <c r="BX65" s="191" t="s">
        <v>172</v>
      </c>
      <c r="BY65" s="191" t="s">
        <v>173</v>
      </c>
      <c r="BZ65" s="191"/>
      <c r="CA65" s="191"/>
      <c r="CB65" s="191" t="s">
        <v>170</v>
      </c>
      <c r="CC65" s="191" t="s">
        <v>171</v>
      </c>
      <c r="CD65" s="191" t="s">
        <v>171</v>
      </c>
      <c r="CE65" s="191" t="s">
        <v>172</v>
      </c>
      <c r="CF65" s="191" t="s">
        <v>173</v>
      </c>
      <c r="CG65" s="191"/>
      <c r="CH65" s="191"/>
      <c r="CI65" s="191" t="s">
        <v>170</v>
      </c>
      <c r="CJ65" s="191" t="s">
        <v>171</v>
      </c>
      <c r="CK65" s="191" t="s">
        <v>171</v>
      </c>
      <c r="CL65" s="191" t="s">
        <v>172</v>
      </c>
      <c r="CM65" s="191" t="s">
        <v>173</v>
      </c>
      <c r="CN65" s="191"/>
      <c r="CO65" s="191"/>
      <c r="CP65" s="191" t="s">
        <v>170</v>
      </c>
      <c r="CQ65" s="191" t="s">
        <v>171</v>
      </c>
      <c r="CR65" s="191" t="s">
        <v>171</v>
      </c>
      <c r="CS65" s="191" t="s">
        <v>172</v>
      </c>
      <c r="CT65" s="191" t="s">
        <v>173</v>
      </c>
      <c r="CU65" s="191"/>
      <c r="CV65" s="191"/>
      <c r="CW65" s="191" t="s">
        <v>170</v>
      </c>
      <c r="CX65" s="191" t="s">
        <v>171</v>
      </c>
      <c r="CY65" s="191" t="s">
        <v>171</v>
      </c>
      <c r="CZ65" s="191" t="s">
        <v>172</v>
      </c>
      <c r="DA65" s="191" t="s">
        <v>173</v>
      </c>
      <c r="DB65" s="191"/>
      <c r="DC65" s="191"/>
      <c r="DD65" s="191" t="s">
        <v>170</v>
      </c>
      <c r="DE65" s="191" t="s">
        <v>171</v>
      </c>
      <c r="DF65" s="191" t="s">
        <v>171</v>
      </c>
      <c r="DG65" s="191" t="s">
        <v>172</v>
      </c>
      <c r="DH65" s="191" t="s">
        <v>173</v>
      </c>
      <c r="DI65" s="191"/>
      <c r="DJ65" s="191"/>
      <c r="DK65" s="191" t="s">
        <v>170</v>
      </c>
      <c r="DL65" s="191" t="s">
        <v>171</v>
      </c>
      <c r="DM65" s="191" t="s">
        <v>171</v>
      </c>
      <c r="DN65" s="191" t="s">
        <v>172</v>
      </c>
      <c r="DO65" s="191" t="s">
        <v>173</v>
      </c>
      <c r="DP65" s="191"/>
      <c r="DQ65" s="191"/>
      <c r="DR65" s="191" t="s">
        <v>170</v>
      </c>
      <c r="DS65" s="191" t="s">
        <v>171</v>
      </c>
      <c r="DT65" s="191" t="s">
        <v>171</v>
      </c>
      <c r="DU65" s="191" t="s">
        <v>172</v>
      </c>
      <c r="DV65" s="191" t="s">
        <v>173</v>
      </c>
    </row>
    <row r="66" ht="15.75" customHeight="1">
      <c r="B66" s="192"/>
      <c r="C66" s="192"/>
      <c r="D66" s="192"/>
      <c r="E66" s="192"/>
      <c r="F66" s="192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2"/>
      <c r="V66" s="192"/>
      <c r="W66" s="192"/>
      <c r="X66" s="192"/>
      <c r="Y66" s="192"/>
      <c r="Z66" s="192"/>
      <c r="AA66" s="192"/>
      <c r="AB66" s="192"/>
      <c r="AC66" s="192"/>
      <c r="AD66" s="192"/>
      <c r="AE66" s="192"/>
      <c r="AF66" s="192"/>
      <c r="AG66" s="192"/>
      <c r="AH66" s="192"/>
      <c r="AI66" s="192"/>
      <c r="AJ66" s="192"/>
      <c r="AK66" s="192"/>
      <c r="AL66" s="192"/>
      <c r="AM66" s="192"/>
      <c r="AN66" s="192"/>
      <c r="AO66" s="192"/>
      <c r="AP66" s="192"/>
      <c r="AQ66" s="192"/>
      <c r="AR66" s="192"/>
      <c r="AS66" s="192"/>
      <c r="AT66" s="192"/>
      <c r="AU66" s="192"/>
      <c r="AV66" s="192"/>
      <c r="AW66" s="192"/>
      <c r="AX66" s="192"/>
      <c r="AY66" s="192"/>
      <c r="AZ66" s="192"/>
      <c r="BA66" s="192"/>
      <c r="BB66" s="192"/>
      <c r="BC66" s="192"/>
      <c r="BD66" s="192"/>
      <c r="BE66" s="192"/>
      <c r="BF66" s="192"/>
      <c r="BG66" s="192"/>
      <c r="BH66" s="192"/>
      <c r="BI66" s="192"/>
      <c r="BJ66" s="192"/>
      <c r="BK66" s="192"/>
      <c r="BL66" s="192"/>
      <c r="BM66" s="192"/>
      <c r="BN66" s="192"/>
      <c r="BO66" s="192"/>
      <c r="BP66" s="192"/>
      <c r="BQ66" s="192"/>
      <c r="BR66" s="192"/>
      <c r="BS66" s="192"/>
      <c r="BT66" s="192"/>
      <c r="BU66" s="192"/>
      <c r="BV66" s="192"/>
      <c r="BW66" s="192"/>
      <c r="BX66" s="192"/>
      <c r="BY66" s="192"/>
      <c r="BZ66" s="192"/>
      <c r="CA66" s="192"/>
      <c r="CB66" s="192"/>
      <c r="CC66" s="192"/>
      <c r="CD66" s="192"/>
      <c r="CE66" s="192"/>
      <c r="CF66" s="192"/>
      <c r="CG66" s="192"/>
      <c r="CH66" s="192"/>
      <c r="DV66" s="193"/>
    </row>
    <row r="67" ht="15.75" customHeight="1">
      <c r="B67" s="194" t="s">
        <v>236</v>
      </c>
      <c r="C67" s="195"/>
      <c r="D67" s="192"/>
      <c r="DV67" s="193"/>
    </row>
    <row r="68" ht="15.75" customHeight="1">
      <c r="B68" s="196" t="s">
        <v>237</v>
      </c>
      <c r="C68" s="197" t="s">
        <v>238</v>
      </c>
      <c r="D68" s="192"/>
      <c r="DV68" s="193"/>
    </row>
    <row r="69" ht="15.75" customHeight="1">
      <c r="B69" s="198" t="s">
        <v>239</v>
      </c>
      <c r="C69" s="198" t="s">
        <v>240</v>
      </c>
      <c r="D69" s="192"/>
      <c r="DV69" s="193"/>
    </row>
    <row r="70" ht="15.75" customHeight="1">
      <c r="B70" s="196" t="s">
        <v>241</v>
      </c>
      <c r="C70" s="199" t="s">
        <v>242</v>
      </c>
      <c r="DV70" s="193"/>
    </row>
    <row r="71" ht="15.75" customHeight="1">
      <c r="B71" s="198" t="s">
        <v>243</v>
      </c>
      <c r="C71" s="200" t="s">
        <v>191</v>
      </c>
      <c r="DV71" s="193"/>
    </row>
    <row r="72" ht="15.75" customHeight="1">
      <c r="DV72" s="193"/>
    </row>
    <row r="73" ht="15.75" customHeight="1">
      <c r="DV73" s="193"/>
    </row>
    <row r="74" ht="15.75" customHeight="1">
      <c r="DV74" s="193"/>
    </row>
    <row r="75" ht="15.75" customHeight="1">
      <c r="DV75" s="193"/>
    </row>
    <row r="76" ht="15.75" customHeight="1">
      <c r="DV76" s="193"/>
    </row>
    <row r="77" ht="15.75" customHeight="1">
      <c r="B77" s="23"/>
      <c r="DV77" s="193"/>
    </row>
    <row r="78" ht="15.75" customHeight="1">
      <c r="B78" s="23"/>
      <c r="DV78" s="193"/>
    </row>
    <row r="79" ht="15.75" customHeight="1">
      <c r="DV79" s="193"/>
    </row>
    <row r="80" ht="15.75" customHeight="1">
      <c r="B80" s="23"/>
      <c r="DV80" s="193"/>
    </row>
    <row r="81" ht="15.75" customHeight="1">
      <c r="B81" s="23"/>
      <c r="DV81" s="193"/>
    </row>
    <row r="82" ht="15.75" customHeight="1">
      <c r="B82" s="23"/>
      <c r="DV82" s="193"/>
    </row>
    <row r="83" ht="15.75" customHeight="1">
      <c r="B83" s="23"/>
      <c r="DV83" s="193"/>
    </row>
    <row r="84" ht="15.75" customHeight="1">
      <c r="B84" s="23"/>
      <c r="DV84" s="193"/>
    </row>
    <row r="85" ht="15.75" customHeight="1">
      <c r="B85" s="23"/>
      <c r="DV85" s="193"/>
    </row>
    <row r="86" ht="15.75" customHeight="1">
      <c r="B86" s="23"/>
      <c r="DV86" s="193"/>
    </row>
    <row r="87" ht="15.75" customHeight="1">
      <c r="B87" s="23"/>
      <c r="DV87" s="193"/>
    </row>
    <row r="88" ht="15.75" customHeight="1">
      <c r="B88" s="23"/>
      <c r="DV88" s="193"/>
    </row>
    <row r="89" ht="15.75" customHeight="1">
      <c r="B89" s="23"/>
      <c r="DV89" s="193"/>
    </row>
    <row r="90" ht="15.75" customHeight="1">
      <c r="B90" s="23"/>
      <c r="DV90" s="193"/>
    </row>
    <row r="91" ht="15.75" customHeight="1">
      <c r="B91" s="23"/>
      <c r="DV91" s="193"/>
    </row>
    <row r="92" ht="15.75" customHeight="1">
      <c r="B92" s="23"/>
      <c r="DV92" s="193"/>
    </row>
    <row r="93" ht="15.75" customHeight="1">
      <c r="B93" s="23"/>
      <c r="DV93" s="193"/>
    </row>
    <row r="94" ht="15.75" customHeight="1">
      <c r="B94" s="23"/>
      <c r="DV94" s="193"/>
    </row>
    <row r="95" ht="15.75" customHeight="1">
      <c r="B95" s="23"/>
      <c r="DV95" s="193"/>
    </row>
    <row r="96" ht="15.75" customHeight="1">
      <c r="B96" s="23"/>
      <c r="DV96" s="193"/>
    </row>
    <row r="97" ht="15.75" customHeight="1">
      <c r="B97" s="23"/>
      <c r="DV97" s="193"/>
    </row>
    <row r="98" ht="15.75" customHeight="1">
      <c r="B98" s="23"/>
      <c r="DV98" s="193"/>
    </row>
    <row r="99" ht="15.75" customHeight="1">
      <c r="B99" s="23"/>
      <c r="DV99" s="193"/>
    </row>
    <row r="100" ht="15.75" customHeight="1">
      <c r="B100" s="23"/>
      <c r="DV100" s="193"/>
    </row>
    <row r="101" ht="15.75" customHeight="1">
      <c r="B101" s="23"/>
      <c r="DV101" s="193"/>
    </row>
    <row r="102" ht="15.75" customHeight="1">
      <c r="B102" s="23"/>
      <c r="DV102" s="193"/>
    </row>
    <row r="103" ht="15.75" customHeight="1">
      <c r="B103" s="23"/>
      <c r="DV103" s="193"/>
    </row>
    <row r="104" ht="15.75" customHeight="1">
      <c r="B104" s="23"/>
      <c r="DV104" s="193"/>
    </row>
    <row r="105" ht="15.75" customHeight="1">
      <c r="B105" s="23"/>
      <c r="DV105" s="193"/>
    </row>
    <row r="106" ht="15.75" customHeight="1">
      <c r="B106" s="23"/>
      <c r="DV106" s="193"/>
    </row>
    <row r="107" ht="15.75" customHeight="1">
      <c r="B107" s="23"/>
      <c r="DV107" s="193"/>
    </row>
    <row r="108" ht="15.75" customHeight="1">
      <c r="B108" s="23"/>
      <c r="DV108" s="193"/>
    </row>
    <row r="109" ht="15.75" customHeight="1">
      <c r="B109" s="23"/>
      <c r="DV109" s="193"/>
    </row>
    <row r="110" ht="15.75" customHeight="1">
      <c r="B110" s="23"/>
      <c r="DV110" s="193"/>
    </row>
    <row r="111" ht="15.75" customHeight="1">
      <c r="B111" s="23"/>
      <c r="DV111" s="193"/>
    </row>
    <row r="112" ht="15.75" customHeight="1">
      <c r="B112" s="23"/>
      <c r="DV112" s="193"/>
    </row>
    <row r="113" ht="15.75" customHeight="1">
      <c r="B113" s="23"/>
      <c r="DV113" s="193"/>
    </row>
    <row r="114" ht="15.75" customHeight="1">
      <c r="B114" s="23"/>
      <c r="DV114" s="193"/>
    </row>
    <row r="115" ht="15.75" customHeight="1">
      <c r="B115" s="23"/>
      <c r="DV115" s="193"/>
    </row>
    <row r="116" ht="15.75" customHeight="1">
      <c r="B116" s="23"/>
      <c r="DV116" s="193"/>
    </row>
    <row r="117" ht="15.75" customHeight="1">
      <c r="B117" s="23"/>
      <c r="DV117" s="193"/>
    </row>
    <row r="118" ht="15.75" customHeight="1">
      <c r="B118" s="23"/>
      <c r="DV118" s="193"/>
    </row>
    <row r="119" ht="15.75" customHeight="1">
      <c r="B119" s="23"/>
      <c r="DV119" s="193"/>
    </row>
    <row r="120" ht="15.75" customHeight="1">
      <c r="B120" s="23"/>
      <c r="DV120" s="193"/>
    </row>
    <row r="121" ht="15.75" customHeight="1">
      <c r="B121" s="23"/>
      <c r="DV121" s="193"/>
    </row>
    <row r="122" ht="15.75" customHeight="1">
      <c r="B122" s="23"/>
      <c r="DV122" s="193"/>
    </row>
    <row r="123" ht="15.75" customHeight="1">
      <c r="B123" s="23"/>
      <c r="DV123" s="193"/>
    </row>
    <row r="124" ht="15.75" customHeight="1">
      <c r="B124" s="23"/>
      <c r="DV124" s="193"/>
    </row>
    <row r="125" ht="15.75" customHeight="1">
      <c r="B125" s="23"/>
      <c r="DV125" s="193"/>
    </row>
    <row r="126" ht="15.75" customHeight="1">
      <c r="B126" s="23"/>
      <c r="DV126" s="193"/>
    </row>
    <row r="127" ht="15.75" customHeight="1">
      <c r="B127" s="23"/>
      <c r="DV127" s="193"/>
    </row>
    <row r="128" ht="15.75" customHeight="1">
      <c r="B128" s="23"/>
      <c r="DV128" s="193"/>
    </row>
    <row r="129" ht="15.75" customHeight="1">
      <c r="B129" s="23"/>
      <c r="DV129" s="193"/>
    </row>
    <row r="130" ht="15.75" customHeight="1">
      <c r="B130" s="23"/>
      <c r="DV130" s="193"/>
    </row>
    <row r="131" ht="15.75" customHeight="1">
      <c r="B131" s="23"/>
      <c r="DV131" s="193"/>
    </row>
    <row r="132" ht="15.75" customHeight="1">
      <c r="B132" s="23"/>
      <c r="DV132" s="193"/>
    </row>
    <row r="133" ht="15.75" customHeight="1">
      <c r="B133" s="23"/>
      <c r="DV133" s="193"/>
    </row>
    <row r="134" ht="15.75" customHeight="1">
      <c r="B134" s="23"/>
      <c r="DV134" s="193"/>
    </row>
    <row r="135" ht="15.75" customHeight="1">
      <c r="B135" s="23"/>
      <c r="DV135" s="193"/>
    </row>
    <row r="136" ht="15.75" customHeight="1">
      <c r="B136" s="23"/>
      <c r="DV136" s="193"/>
    </row>
    <row r="137" ht="15.75" customHeight="1">
      <c r="B137" s="23"/>
      <c r="DV137" s="193"/>
    </row>
    <row r="138" ht="15.75" customHeight="1">
      <c r="B138" s="23"/>
      <c r="DV138" s="193"/>
    </row>
    <row r="139" ht="15.75" customHeight="1">
      <c r="B139" s="23"/>
      <c r="DV139" s="193"/>
    </row>
    <row r="140" ht="15.75" customHeight="1">
      <c r="B140" s="23"/>
      <c r="DV140" s="193"/>
    </row>
    <row r="141" ht="15.75" customHeight="1">
      <c r="B141" s="23"/>
      <c r="DV141" s="193"/>
    </row>
    <row r="142" ht="15.75" customHeight="1">
      <c r="B142" s="23"/>
      <c r="DV142" s="193"/>
    </row>
    <row r="143" ht="15.75" customHeight="1">
      <c r="B143" s="23"/>
      <c r="DV143" s="193"/>
    </row>
    <row r="144" ht="15.75" customHeight="1">
      <c r="B144" s="23"/>
      <c r="DV144" s="193"/>
    </row>
    <row r="145" ht="15.75" customHeight="1">
      <c r="B145" s="23"/>
      <c r="DV145" s="193"/>
    </row>
    <row r="146" ht="15.75" customHeight="1">
      <c r="B146" s="23"/>
      <c r="DV146" s="193"/>
    </row>
    <row r="147" ht="15.75" customHeight="1">
      <c r="B147" s="23"/>
      <c r="DV147" s="193"/>
    </row>
    <row r="148" ht="15.75" customHeight="1">
      <c r="B148" s="23"/>
      <c r="DV148" s="193"/>
    </row>
    <row r="149" ht="15.75" customHeight="1">
      <c r="B149" s="23"/>
      <c r="DV149" s="193"/>
    </row>
    <row r="150" ht="15.75" customHeight="1">
      <c r="B150" s="23"/>
      <c r="DV150" s="193"/>
    </row>
    <row r="151" ht="15.75" customHeight="1">
      <c r="B151" s="23"/>
      <c r="DV151" s="193"/>
    </row>
    <row r="152" ht="15.75" customHeight="1">
      <c r="B152" s="23"/>
      <c r="DV152" s="193"/>
    </row>
    <row r="153" ht="15.75" customHeight="1">
      <c r="B153" s="23"/>
      <c r="DV153" s="193"/>
    </row>
    <row r="154" ht="15.75" customHeight="1">
      <c r="B154" s="23"/>
      <c r="DV154" s="193"/>
    </row>
    <row r="155" ht="15.75" customHeight="1">
      <c r="B155" s="23"/>
      <c r="DV155" s="193"/>
    </row>
    <row r="156" ht="15.75" customHeight="1">
      <c r="B156" s="23"/>
      <c r="DV156" s="193"/>
    </row>
    <row r="157" ht="15.75" customHeight="1">
      <c r="B157" s="23"/>
      <c r="DV157" s="193"/>
    </row>
    <row r="158" ht="15.75" customHeight="1">
      <c r="B158" s="23"/>
      <c r="DV158" s="193"/>
    </row>
    <row r="159" ht="15.75" customHeight="1">
      <c r="DV159" s="193"/>
    </row>
    <row r="160" ht="15.75" customHeight="1">
      <c r="DV160" s="193"/>
    </row>
    <row r="161" ht="15.75" customHeight="1">
      <c r="DV161" s="193"/>
    </row>
    <row r="162" ht="15.75" customHeight="1">
      <c r="DV162" s="193"/>
    </row>
    <row r="163" ht="15.75" customHeight="1">
      <c r="DV163" s="193"/>
    </row>
    <row r="164" ht="15.75" customHeight="1">
      <c r="DV164" s="193"/>
    </row>
    <row r="165" ht="15.75" customHeight="1">
      <c r="DV165" s="193"/>
    </row>
    <row r="166" ht="15.75" customHeight="1">
      <c r="DV166" s="193"/>
    </row>
    <row r="167" ht="15.75" customHeight="1">
      <c r="DV167" s="193"/>
    </row>
    <row r="168" ht="15.75" customHeight="1">
      <c r="DV168" s="193"/>
    </row>
    <row r="169" ht="15.75" customHeight="1">
      <c r="DV169" s="193"/>
    </row>
    <row r="170" ht="15.75" customHeight="1">
      <c r="DV170" s="193"/>
    </row>
    <row r="171" ht="15.75" customHeight="1">
      <c r="DV171" s="193"/>
    </row>
    <row r="172" ht="15.75" customHeight="1">
      <c r="DV172" s="193"/>
    </row>
    <row r="173" ht="15.75" customHeight="1">
      <c r="DV173" s="193"/>
    </row>
    <row r="174" ht="15.75" customHeight="1">
      <c r="DV174" s="193"/>
    </row>
    <row r="175" ht="15.75" customHeight="1">
      <c r="DV175" s="193"/>
    </row>
    <row r="176" ht="15.75" customHeight="1">
      <c r="DV176" s="193"/>
    </row>
    <row r="177" ht="15.75" customHeight="1">
      <c r="DV177" s="193"/>
    </row>
    <row r="178" ht="15.75" customHeight="1">
      <c r="DV178" s="193"/>
    </row>
    <row r="179" ht="15.75" customHeight="1">
      <c r="DV179" s="193"/>
    </row>
    <row r="180" ht="15.75" customHeight="1">
      <c r="DV180" s="193"/>
    </row>
    <row r="181" ht="15.75" customHeight="1">
      <c r="DV181" s="193"/>
    </row>
    <row r="182" ht="15.75" customHeight="1">
      <c r="DV182" s="193"/>
    </row>
    <row r="183" ht="15.75" customHeight="1">
      <c r="DV183" s="193"/>
    </row>
    <row r="184" ht="15.75" customHeight="1">
      <c r="DV184" s="193"/>
    </row>
    <row r="185" ht="15.75" customHeight="1">
      <c r="DV185" s="193"/>
    </row>
    <row r="186" ht="15.75" customHeight="1">
      <c r="DV186" s="193"/>
    </row>
    <row r="187" ht="15.75" customHeight="1">
      <c r="DV187" s="193"/>
    </row>
    <row r="188" ht="15.75" customHeight="1">
      <c r="DV188" s="193"/>
    </row>
    <row r="189" ht="15.75" customHeight="1">
      <c r="DV189" s="193"/>
    </row>
    <row r="190" ht="15.75" customHeight="1">
      <c r="DV190" s="193"/>
    </row>
    <row r="191" ht="15.75" customHeight="1">
      <c r="DV191" s="193"/>
    </row>
    <row r="192" ht="15.75" customHeight="1">
      <c r="DV192" s="193"/>
    </row>
    <row r="193" ht="15.75" customHeight="1">
      <c r="DV193" s="193"/>
    </row>
    <row r="194" ht="15.75" customHeight="1">
      <c r="DV194" s="193"/>
    </row>
    <row r="195" ht="15.75" customHeight="1">
      <c r="DV195" s="193"/>
    </row>
    <row r="196" ht="15.75" customHeight="1">
      <c r="DV196" s="193"/>
    </row>
    <row r="197" ht="15.75" customHeight="1">
      <c r="DV197" s="193"/>
    </row>
    <row r="198" ht="15.75" customHeight="1">
      <c r="DV198" s="193"/>
    </row>
    <row r="199" ht="15.75" customHeight="1">
      <c r="DV199" s="193"/>
    </row>
    <row r="200" ht="15.75" customHeight="1">
      <c r="DV200" s="193"/>
    </row>
    <row r="201" ht="15.75" customHeight="1">
      <c r="DV201" s="193"/>
    </row>
    <row r="202" ht="15.75" customHeight="1">
      <c r="DV202" s="193"/>
    </row>
    <row r="203" ht="15.75" customHeight="1">
      <c r="DV203" s="193"/>
    </row>
    <row r="204" ht="15.75" customHeight="1">
      <c r="DV204" s="193"/>
    </row>
    <row r="205" ht="15.75" customHeight="1">
      <c r="DV205" s="193"/>
    </row>
    <row r="206" ht="15.75" customHeight="1">
      <c r="DV206" s="193"/>
    </row>
    <row r="207" ht="15.75" customHeight="1">
      <c r="DV207" s="193"/>
    </row>
    <row r="208" ht="15.75" customHeight="1">
      <c r="DV208" s="193"/>
    </row>
    <row r="209" ht="15.75" customHeight="1">
      <c r="DV209" s="193"/>
    </row>
    <row r="210" ht="15.75" customHeight="1">
      <c r="DV210" s="193"/>
    </row>
    <row r="211" ht="15.75" customHeight="1">
      <c r="DV211" s="193"/>
    </row>
    <row r="212" ht="15.75" customHeight="1">
      <c r="DV212" s="193"/>
    </row>
    <row r="213" ht="15.75" customHeight="1">
      <c r="DV213" s="193"/>
    </row>
    <row r="214" ht="15.75" customHeight="1">
      <c r="DV214" s="193"/>
    </row>
    <row r="215" ht="15.75" customHeight="1">
      <c r="DV215" s="193"/>
    </row>
    <row r="216" ht="15.75" customHeight="1">
      <c r="DV216" s="193"/>
    </row>
    <row r="217" ht="15.75" customHeight="1">
      <c r="DV217" s="193"/>
    </row>
    <row r="218" ht="15.75" customHeight="1">
      <c r="DV218" s="193"/>
    </row>
    <row r="219" ht="15.75" customHeight="1">
      <c r="DV219" s="193"/>
    </row>
    <row r="220" ht="15.75" customHeight="1">
      <c r="DV220" s="193"/>
    </row>
    <row r="221" ht="15.75" customHeight="1">
      <c r="DV221" s="193"/>
    </row>
    <row r="222" ht="15.75" customHeight="1">
      <c r="DV222" s="193"/>
    </row>
    <row r="223" ht="15.75" customHeight="1">
      <c r="DV223" s="193"/>
    </row>
    <row r="224" ht="15.75" customHeight="1">
      <c r="DV224" s="193"/>
    </row>
    <row r="225" ht="15.75" customHeight="1">
      <c r="DV225" s="193"/>
    </row>
    <row r="226" ht="15.75" customHeight="1">
      <c r="DV226" s="193"/>
    </row>
    <row r="227" ht="15.75" customHeight="1">
      <c r="DV227" s="193"/>
    </row>
    <row r="228" ht="15.75" customHeight="1">
      <c r="DV228" s="193"/>
    </row>
    <row r="229" ht="15.75" customHeight="1">
      <c r="DV229" s="193"/>
    </row>
    <row r="230" ht="15.75" customHeight="1">
      <c r="DV230" s="193"/>
    </row>
    <row r="231" ht="15.75" customHeight="1">
      <c r="DV231" s="193"/>
    </row>
    <row r="232" ht="15.75" customHeight="1">
      <c r="DV232" s="193"/>
    </row>
    <row r="233" ht="15.75" customHeight="1">
      <c r="DV233" s="193"/>
    </row>
    <row r="234" ht="15.75" customHeight="1">
      <c r="DV234" s="193"/>
    </row>
    <row r="235" ht="15.75" customHeight="1">
      <c r="DV235" s="193"/>
    </row>
    <row r="236" ht="15.75" customHeight="1">
      <c r="DV236" s="193"/>
    </row>
    <row r="237" ht="15.75" customHeight="1">
      <c r="DV237" s="193"/>
    </row>
    <row r="238" ht="15.75" customHeight="1">
      <c r="DV238" s="193"/>
    </row>
    <row r="239" ht="15.75" customHeight="1">
      <c r="DV239" s="193"/>
    </row>
    <row r="240" ht="15.75" customHeight="1">
      <c r="DV240" s="193"/>
    </row>
    <row r="241" ht="15.75" customHeight="1">
      <c r="DV241" s="193"/>
    </row>
    <row r="242" ht="15.75" customHeight="1">
      <c r="DV242" s="193"/>
    </row>
    <row r="243" ht="15.75" customHeight="1">
      <c r="DV243" s="193"/>
    </row>
    <row r="244" ht="15.75" customHeight="1">
      <c r="DV244" s="193"/>
    </row>
    <row r="245" ht="15.75" customHeight="1">
      <c r="DV245" s="193"/>
    </row>
    <row r="246" ht="15.75" customHeight="1">
      <c r="DV246" s="193"/>
    </row>
    <row r="247" ht="15.75" customHeight="1">
      <c r="DV247" s="193"/>
    </row>
    <row r="248" ht="15.75" customHeight="1">
      <c r="DV248" s="193"/>
    </row>
    <row r="249" ht="15.75" customHeight="1">
      <c r="DV249" s="193"/>
    </row>
    <row r="250" ht="15.75" customHeight="1">
      <c r="DV250" s="193"/>
    </row>
    <row r="251" ht="15.75" customHeight="1">
      <c r="DV251" s="193"/>
    </row>
    <row r="252" ht="15.75" customHeight="1">
      <c r="DV252" s="193"/>
    </row>
    <row r="253" ht="15.75" customHeight="1">
      <c r="DV253" s="193"/>
    </row>
    <row r="254" ht="15.75" customHeight="1">
      <c r="DV254" s="193"/>
    </row>
    <row r="255" ht="15.75" customHeight="1">
      <c r="DV255" s="193"/>
    </row>
    <row r="256" ht="15.75" customHeight="1">
      <c r="DV256" s="193"/>
    </row>
    <row r="257" ht="15.75" customHeight="1">
      <c r="DV257" s="193"/>
    </row>
    <row r="258" ht="15.75" customHeight="1">
      <c r="DV258" s="193"/>
    </row>
    <row r="259" ht="15.75" customHeight="1">
      <c r="DV259" s="193"/>
    </row>
    <row r="260" ht="15.75" customHeight="1">
      <c r="DV260" s="193"/>
    </row>
    <row r="261" ht="15.75" customHeight="1">
      <c r="DV261" s="193"/>
    </row>
    <row r="262" ht="15.75" customHeight="1">
      <c r="DV262" s="193"/>
    </row>
    <row r="263" ht="15.75" customHeight="1">
      <c r="DV263" s="193"/>
    </row>
    <row r="264" ht="15.75" customHeight="1">
      <c r="DV264" s="193"/>
    </row>
    <row r="265" ht="15.75" customHeight="1">
      <c r="DV265" s="193"/>
    </row>
    <row r="266" ht="15.75" customHeight="1">
      <c r="DV266" s="193"/>
    </row>
    <row r="267" ht="15.75" customHeight="1">
      <c r="DV267" s="193"/>
    </row>
    <row r="268" ht="15.75" customHeight="1">
      <c r="DV268" s="193"/>
    </row>
    <row r="269" ht="15.75" customHeight="1">
      <c r="DV269" s="193"/>
    </row>
    <row r="270" ht="15.75" customHeight="1">
      <c r="DV270" s="193"/>
    </row>
    <row r="271" ht="15.75" customHeight="1">
      <c r="DV271" s="193"/>
    </row>
    <row r="272" ht="15.75" customHeight="1">
      <c r="DV272" s="193"/>
    </row>
    <row r="273" ht="15.75" customHeight="1">
      <c r="DV273" s="193"/>
    </row>
    <row r="274" ht="15.75" customHeight="1">
      <c r="DV274" s="193"/>
    </row>
    <row r="275" ht="15.75" customHeight="1">
      <c r="DV275" s="193"/>
    </row>
    <row r="276" ht="15.75" customHeight="1">
      <c r="DV276" s="193"/>
    </row>
    <row r="277" ht="15.75" customHeight="1">
      <c r="DV277" s="193"/>
    </row>
    <row r="278" ht="15.75" customHeight="1">
      <c r="DV278" s="193"/>
    </row>
    <row r="279" ht="15.75" customHeight="1">
      <c r="DV279" s="193"/>
    </row>
    <row r="280" ht="15.75" customHeight="1">
      <c r="DV280" s="193"/>
    </row>
    <row r="281" ht="15.75" customHeight="1">
      <c r="DV281" s="193"/>
    </row>
    <row r="282" ht="15.75" customHeight="1">
      <c r="DV282" s="193"/>
    </row>
    <row r="283" ht="15.75" customHeight="1">
      <c r="DV283" s="193"/>
    </row>
    <row r="284" ht="15.75" customHeight="1">
      <c r="DV284" s="193"/>
    </row>
    <row r="285" ht="15.75" customHeight="1">
      <c r="DV285" s="193"/>
    </row>
    <row r="286" ht="15.75" customHeight="1">
      <c r="DV286" s="193"/>
    </row>
    <row r="287" ht="15.75" customHeight="1">
      <c r="DV287" s="193"/>
    </row>
    <row r="288" ht="15.75" customHeight="1">
      <c r="DV288" s="193"/>
    </row>
    <row r="289" ht="15.75" customHeight="1">
      <c r="DV289" s="193"/>
    </row>
    <row r="290" ht="15.75" customHeight="1">
      <c r="DV290" s="193"/>
    </row>
    <row r="291" ht="15.75" customHeight="1">
      <c r="DV291" s="193"/>
    </row>
    <row r="292" ht="15.75" customHeight="1">
      <c r="DV292" s="193"/>
    </row>
    <row r="293" ht="15.75" customHeight="1">
      <c r="DV293" s="193"/>
    </row>
    <row r="294" ht="15.75" customHeight="1">
      <c r="DV294" s="193"/>
    </row>
    <row r="295" ht="15.75" customHeight="1">
      <c r="DV295" s="193"/>
    </row>
    <row r="296" ht="15.75" customHeight="1">
      <c r="DV296" s="193"/>
    </row>
    <row r="297" ht="15.75" customHeight="1">
      <c r="DV297" s="193"/>
    </row>
    <row r="298" ht="15.75" customHeight="1">
      <c r="DV298" s="193"/>
    </row>
    <row r="299" ht="15.75" customHeight="1">
      <c r="DV299" s="193"/>
    </row>
    <row r="300" ht="15.75" customHeight="1">
      <c r="DV300" s="193"/>
    </row>
    <row r="301" ht="15.75" customHeight="1">
      <c r="DV301" s="193"/>
    </row>
    <row r="302" ht="15.75" customHeight="1">
      <c r="DV302" s="193"/>
    </row>
    <row r="303" ht="15.75" customHeight="1">
      <c r="DV303" s="193"/>
    </row>
    <row r="304" ht="15.75" customHeight="1">
      <c r="DV304" s="193"/>
    </row>
    <row r="305" ht="15.75" customHeight="1">
      <c r="DV305" s="193"/>
    </row>
    <row r="306" ht="15.75" customHeight="1">
      <c r="DV306" s="193"/>
    </row>
    <row r="307" ht="15.75" customHeight="1">
      <c r="DV307" s="193"/>
    </row>
    <row r="308" ht="15.75" customHeight="1">
      <c r="DV308" s="193"/>
    </row>
    <row r="309" ht="15.75" customHeight="1">
      <c r="DV309" s="193"/>
    </row>
    <row r="310" ht="15.75" customHeight="1">
      <c r="DV310" s="193"/>
    </row>
    <row r="311" ht="15.75" customHeight="1">
      <c r="DV311" s="193"/>
    </row>
    <row r="312" ht="15.75" customHeight="1">
      <c r="DV312" s="193"/>
    </row>
    <row r="313" ht="15.75" customHeight="1">
      <c r="DV313" s="193"/>
    </row>
    <row r="314" ht="15.75" customHeight="1">
      <c r="DV314" s="193"/>
    </row>
    <row r="315" ht="15.75" customHeight="1">
      <c r="DV315" s="193"/>
    </row>
    <row r="316" ht="15.75" customHeight="1">
      <c r="DV316" s="193"/>
    </row>
    <row r="317" ht="15.75" customHeight="1">
      <c r="DV317" s="193"/>
    </row>
    <row r="318" ht="15.75" customHeight="1">
      <c r="DV318" s="193"/>
    </row>
    <row r="319" ht="15.75" customHeight="1">
      <c r="DV319" s="193"/>
    </row>
    <row r="320" ht="15.75" customHeight="1">
      <c r="DV320" s="193"/>
    </row>
    <row r="321" ht="15.75" customHeight="1">
      <c r="DV321" s="193"/>
    </row>
    <row r="322" ht="15.75" customHeight="1">
      <c r="DV322" s="193"/>
    </row>
    <row r="323" ht="15.75" customHeight="1">
      <c r="DV323" s="193"/>
    </row>
    <row r="324" ht="15.75" customHeight="1">
      <c r="DV324" s="193"/>
    </row>
    <row r="325" ht="15.75" customHeight="1">
      <c r="DV325" s="193"/>
    </row>
    <row r="326" ht="15.75" customHeight="1">
      <c r="DV326" s="193"/>
    </row>
    <row r="327" ht="15.75" customHeight="1">
      <c r="DV327" s="193"/>
    </row>
    <row r="328" ht="15.75" customHeight="1">
      <c r="DV328" s="193"/>
    </row>
    <row r="329" ht="15.75" customHeight="1">
      <c r="DV329" s="193"/>
    </row>
    <row r="330" ht="15.75" customHeight="1">
      <c r="DV330" s="193"/>
    </row>
    <row r="331" ht="15.75" customHeight="1">
      <c r="DV331" s="193"/>
    </row>
    <row r="332" ht="15.75" customHeight="1">
      <c r="DV332" s="193"/>
    </row>
    <row r="333" ht="15.75" customHeight="1">
      <c r="DV333" s="193"/>
    </row>
    <row r="334" ht="15.75" customHeight="1">
      <c r="DV334" s="193"/>
    </row>
    <row r="335" ht="15.75" customHeight="1">
      <c r="DV335" s="193"/>
    </row>
    <row r="336" ht="15.75" customHeight="1">
      <c r="DV336" s="193"/>
    </row>
    <row r="337" ht="15.75" customHeight="1">
      <c r="DV337" s="193"/>
    </row>
    <row r="338" ht="15.75" customHeight="1">
      <c r="DV338" s="193"/>
    </row>
    <row r="339" ht="15.75" customHeight="1">
      <c r="DV339" s="193"/>
    </row>
    <row r="340" ht="15.75" customHeight="1">
      <c r="DV340" s="193"/>
    </row>
    <row r="341" ht="15.75" customHeight="1">
      <c r="DV341" s="193"/>
    </row>
    <row r="342" ht="15.75" customHeight="1">
      <c r="DV342" s="193"/>
    </row>
    <row r="343" ht="15.75" customHeight="1">
      <c r="DV343" s="193"/>
    </row>
    <row r="344" ht="15.75" customHeight="1">
      <c r="DV344" s="193"/>
    </row>
    <row r="345" ht="15.75" customHeight="1">
      <c r="DV345" s="193"/>
    </row>
    <row r="346" ht="15.75" customHeight="1">
      <c r="DV346" s="193"/>
    </row>
    <row r="347" ht="15.75" customHeight="1">
      <c r="DV347" s="193"/>
    </row>
    <row r="348" ht="15.75" customHeight="1">
      <c r="DV348" s="193"/>
    </row>
    <row r="349" ht="15.75" customHeight="1">
      <c r="DV349" s="193"/>
    </row>
    <row r="350" ht="15.75" customHeight="1">
      <c r="DV350" s="193"/>
    </row>
    <row r="351" ht="15.75" customHeight="1">
      <c r="DV351" s="193"/>
    </row>
    <row r="352" ht="15.75" customHeight="1">
      <c r="DV352" s="193"/>
    </row>
    <row r="353" ht="15.75" customHeight="1">
      <c r="DV353" s="193"/>
    </row>
    <row r="354" ht="15.75" customHeight="1">
      <c r="DV354" s="193"/>
    </row>
    <row r="355" ht="15.75" customHeight="1">
      <c r="DV355" s="193"/>
    </row>
    <row r="356" ht="15.75" customHeight="1">
      <c r="DV356" s="193"/>
    </row>
    <row r="357" ht="15.75" customHeight="1">
      <c r="DV357" s="193"/>
    </row>
    <row r="358" ht="15.75" customHeight="1">
      <c r="DV358" s="193"/>
    </row>
    <row r="359" ht="15.75" customHeight="1">
      <c r="DV359" s="193"/>
    </row>
    <row r="360" ht="15.75" customHeight="1">
      <c r="DV360" s="193"/>
    </row>
    <row r="361" ht="15.75" customHeight="1">
      <c r="DV361" s="193"/>
    </row>
    <row r="362" ht="15.75" customHeight="1">
      <c r="DV362" s="193"/>
    </row>
    <row r="363" ht="15.75" customHeight="1">
      <c r="DV363" s="193"/>
    </row>
    <row r="364" ht="15.75" customHeight="1">
      <c r="DV364" s="193"/>
    </row>
    <row r="365" ht="15.75" customHeight="1">
      <c r="DV365" s="193"/>
    </row>
    <row r="366" ht="15.75" customHeight="1">
      <c r="DV366" s="193"/>
    </row>
    <row r="367" ht="15.75" customHeight="1">
      <c r="DV367" s="193"/>
    </row>
    <row r="368" ht="15.75" customHeight="1">
      <c r="DV368" s="193"/>
    </row>
    <row r="369" ht="15.75" customHeight="1">
      <c r="DV369" s="193"/>
    </row>
    <row r="370" ht="15.75" customHeight="1">
      <c r="DV370" s="193"/>
    </row>
    <row r="371" ht="15.75" customHeight="1">
      <c r="DV371" s="193"/>
    </row>
    <row r="372" ht="15.75" customHeight="1">
      <c r="DV372" s="193"/>
    </row>
    <row r="373" ht="15.75" customHeight="1">
      <c r="DV373" s="193"/>
    </row>
    <row r="374" ht="15.75" customHeight="1">
      <c r="DV374" s="193"/>
    </row>
    <row r="375" ht="15.75" customHeight="1">
      <c r="DV375" s="193"/>
    </row>
    <row r="376" ht="15.75" customHeight="1">
      <c r="DV376" s="193"/>
    </row>
    <row r="377" ht="15.75" customHeight="1">
      <c r="DV377" s="193"/>
    </row>
    <row r="378" ht="15.75" customHeight="1">
      <c r="DV378" s="193"/>
    </row>
    <row r="379" ht="15.75" customHeight="1">
      <c r="DV379" s="193"/>
    </row>
    <row r="380" ht="15.75" customHeight="1">
      <c r="DV380" s="193"/>
    </row>
    <row r="381" ht="15.75" customHeight="1">
      <c r="DV381" s="193"/>
    </row>
    <row r="382" ht="15.75" customHeight="1">
      <c r="DV382" s="193"/>
    </row>
    <row r="383" ht="15.75" customHeight="1">
      <c r="DV383" s="193"/>
    </row>
    <row r="384" ht="15.75" customHeight="1">
      <c r="DV384" s="193"/>
    </row>
    <row r="385" ht="15.75" customHeight="1">
      <c r="DV385" s="193"/>
    </row>
    <row r="386" ht="15.75" customHeight="1">
      <c r="DV386" s="193"/>
    </row>
    <row r="387" ht="15.75" customHeight="1">
      <c r="DV387" s="193"/>
    </row>
    <row r="388" ht="15.75" customHeight="1">
      <c r="DV388" s="193"/>
    </row>
    <row r="389" ht="15.75" customHeight="1">
      <c r="DV389" s="193"/>
    </row>
    <row r="390" ht="15.75" customHeight="1">
      <c r="DV390" s="193"/>
    </row>
    <row r="391" ht="15.75" customHeight="1">
      <c r="DV391" s="193"/>
    </row>
    <row r="392" ht="15.75" customHeight="1">
      <c r="DV392" s="193"/>
    </row>
    <row r="393" ht="15.75" customHeight="1">
      <c r="DV393" s="193"/>
    </row>
    <row r="394" ht="15.75" customHeight="1">
      <c r="DV394" s="193"/>
    </row>
    <row r="395" ht="15.75" customHeight="1">
      <c r="DV395" s="193"/>
    </row>
    <row r="396" ht="15.75" customHeight="1">
      <c r="DV396" s="193"/>
    </row>
    <row r="397" ht="15.75" customHeight="1">
      <c r="DV397" s="193"/>
    </row>
    <row r="398" ht="15.75" customHeight="1">
      <c r="DV398" s="193"/>
    </row>
    <row r="399" ht="15.75" customHeight="1">
      <c r="DV399" s="193"/>
    </row>
    <row r="400" ht="15.75" customHeight="1">
      <c r="DV400" s="193"/>
    </row>
    <row r="401" ht="15.75" customHeight="1">
      <c r="DV401" s="193"/>
    </row>
    <row r="402" ht="15.75" customHeight="1">
      <c r="DV402" s="193"/>
    </row>
    <row r="403" ht="15.75" customHeight="1">
      <c r="DV403" s="193"/>
    </row>
    <row r="404" ht="15.75" customHeight="1">
      <c r="DV404" s="193"/>
    </row>
    <row r="405" ht="15.75" customHeight="1">
      <c r="DV405" s="193"/>
    </row>
    <row r="406" ht="15.75" customHeight="1">
      <c r="DV406" s="193"/>
    </row>
    <row r="407" ht="15.75" customHeight="1">
      <c r="DV407" s="193"/>
    </row>
    <row r="408" ht="15.75" customHeight="1">
      <c r="DV408" s="193"/>
    </row>
    <row r="409" ht="15.75" customHeight="1">
      <c r="DV409" s="193"/>
    </row>
    <row r="410" ht="15.75" customHeight="1">
      <c r="DV410" s="193"/>
    </row>
    <row r="411" ht="15.75" customHeight="1">
      <c r="DV411" s="193"/>
    </row>
    <row r="412" ht="15.75" customHeight="1">
      <c r="DV412" s="193"/>
    </row>
    <row r="413" ht="15.75" customHeight="1">
      <c r="DV413" s="193"/>
    </row>
    <row r="414" ht="15.75" customHeight="1">
      <c r="DV414" s="193"/>
    </row>
    <row r="415" ht="15.75" customHeight="1">
      <c r="DV415" s="193"/>
    </row>
    <row r="416" ht="15.75" customHeight="1">
      <c r="DV416" s="193"/>
    </row>
    <row r="417" ht="15.75" customHeight="1">
      <c r="DV417" s="193"/>
    </row>
    <row r="418" ht="15.75" customHeight="1">
      <c r="DV418" s="193"/>
    </row>
    <row r="419" ht="15.75" customHeight="1">
      <c r="DV419" s="193"/>
    </row>
    <row r="420" ht="15.75" customHeight="1">
      <c r="DV420" s="193"/>
    </row>
    <row r="421" ht="15.75" customHeight="1">
      <c r="DV421" s="193"/>
    </row>
    <row r="422" ht="15.75" customHeight="1">
      <c r="DV422" s="193"/>
    </row>
    <row r="423" ht="15.75" customHeight="1">
      <c r="DV423" s="193"/>
    </row>
    <row r="424" ht="15.75" customHeight="1">
      <c r="DV424" s="193"/>
    </row>
    <row r="425" ht="15.75" customHeight="1">
      <c r="DV425" s="193"/>
    </row>
    <row r="426" ht="15.75" customHeight="1">
      <c r="DV426" s="193"/>
    </row>
    <row r="427" ht="15.75" customHeight="1">
      <c r="DV427" s="193"/>
    </row>
    <row r="428" ht="15.75" customHeight="1">
      <c r="DV428" s="193"/>
    </row>
    <row r="429" ht="15.75" customHeight="1">
      <c r="DV429" s="193"/>
    </row>
    <row r="430" ht="15.75" customHeight="1">
      <c r="DV430" s="193"/>
    </row>
    <row r="431" ht="15.75" customHeight="1">
      <c r="DV431" s="193"/>
    </row>
    <row r="432" ht="15.75" customHeight="1">
      <c r="DV432" s="193"/>
    </row>
    <row r="433" ht="15.75" customHeight="1">
      <c r="DV433" s="193"/>
    </row>
    <row r="434" ht="15.75" customHeight="1">
      <c r="DV434" s="193"/>
    </row>
    <row r="435" ht="15.75" customHeight="1">
      <c r="DV435" s="193"/>
    </row>
    <row r="436" ht="15.75" customHeight="1">
      <c r="DV436" s="193"/>
    </row>
    <row r="437" ht="15.75" customHeight="1">
      <c r="DV437" s="193"/>
    </row>
    <row r="438" ht="15.75" customHeight="1">
      <c r="DV438" s="193"/>
    </row>
    <row r="439" ht="15.75" customHeight="1">
      <c r="DV439" s="193"/>
    </row>
    <row r="440" ht="15.75" customHeight="1">
      <c r="DV440" s="193"/>
    </row>
    <row r="441" ht="15.75" customHeight="1">
      <c r="DV441" s="193"/>
    </row>
    <row r="442" ht="15.75" customHeight="1">
      <c r="DV442" s="193"/>
    </row>
    <row r="443" ht="15.75" customHeight="1">
      <c r="DV443" s="193"/>
    </row>
    <row r="444" ht="15.75" customHeight="1">
      <c r="DV444" s="193"/>
    </row>
    <row r="445" ht="15.75" customHeight="1">
      <c r="DV445" s="193"/>
    </row>
    <row r="446" ht="15.75" customHeight="1">
      <c r="DV446" s="193"/>
    </row>
    <row r="447" ht="15.75" customHeight="1">
      <c r="DV447" s="193"/>
    </row>
    <row r="448" ht="15.75" customHeight="1">
      <c r="DV448" s="193"/>
    </row>
    <row r="449" ht="15.75" customHeight="1">
      <c r="DV449" s="193"/>
    </row>
    <row r="450" ht="15.75" customHeight="1">
      <c r="DV450" s="193"/>
    </row>
    <row r="451" ht="15.75" customHeight="1">
      <c r="DV451" s="193"/>
    </row>
    <row r="452" ht="15.75" customHeight="1">
      <c r="DV452" s="193"/>
    </row>
    <row r="453" ht="15.75" customHeight="1">
      <c r="DV453" s="193"/>
    </row>
    <row r="454" ht="15.75" customHeight="1">
      <c r="DV454" s="193"/>
    </row>
    <row r="455" ht="15.75" customHeight="1">
      <c r="DV455" s="193"/>
    </row>
    <row r="456" ht="15.75" customHeight="1">
      <c r="DV456" s="193"/>
    </row>
    <row r="457" ht="15.75" customHeight="1">
      <c r="DV457" s="193"/>
    </row>
    <row r="458" ht="15.75" customHeight="1">
      <c r="DV458" s="193"/>
    </row>
    <row r="459" ht="15.75" customHeight="1">
      <c r="DV459" s="193"/>
    </row>
    <row r="460" ht="15.75" customHeight="1">
      <c r="DV460" s="193"/>
    </row>
    <row r="461" ht="15.75" customHeight="1">
      <c r="DV461" s="193"/>
    </row>
    <row r="462" ht="15.75" customHeight="1">
      <c r="DV462" s="193"/>
    </row>
    <row r="463" ht="15.75" customHeight="1">
      <c r="DV463" s="193"/>
    </row>
    <row r="464" ht="15.75" customHeight="1">
      <c r="DV464" s="193"/>
    </row>
    <row r="465" ht="15.75" customHeight="1">
      <c r="DV465" s="193"/>
    </row>
    <row r="466" ht="15.75" customHeight="1">
      <c r="DV466" s="193"/>
    </row>
    <row r="467" ht="15.75" customHeight="1">
      <c r="DV467" s="193"/>
    </row>
    <row r="468" ht="15.75" customHeight="1">
      <c r="DV468" s="193"/>
    </row>
    <row r="469" ht="15.75" customHeight="1">
      <c r="DV469" s="193"/>
    </row>
    <row r="470" ht="15.75" customHeight="1">
      <c r="DV470" s="193"/>
    </row>
    <row r="471" ht="15.75" customHeight="1">
      <c r="DV471" s="193"/>
    </row>
    <row r="472" ht="15.75" customHeight="1">
      <c r="DV472" s="193"/>
    </row>
    <row r="473" ht="15.75" customHeight="1">
      <c r="DV473" s="193"/>
    </row>
    <row r="474" ht="15.75" customHeight="1">
      <c r="DV474" s="193"/>
    </row>
    <row r="475" ht="15.75" customHeight="1">
      <c r="DV475" s="193"/>
    </row>
    <row r="476" ht="15.75" customHeight="1">
      <c r="DV476" s="193"/>
    </row>
    <row r="477" ht="15.75" customHeight="1">
      <c r="DV477" s="193"/>
    </row>
    <row r="478" ht="15.75" customHeight="1">
      <c r="DV478" s="193"/>
    </row>
    <row r="479" ht="15.75" customHeight="1">
      <c r="DV479" s="193"/>
    </row>
    <row r="480" ht="15.75" customHeight="1">
      <c r="DV480" s="193"/>
    </row>
    <row r="481" ht="15.75" customHeight="1">
      <c r="DV481" s="193"/>
    </row>
    <row r="482" ht="15.75" customHeight="1">
      <c r="DV482" s="193"/>
    </row>
    <row r="483" ht="15.75" customHeight="1">
      <c r="DV483" s="193"/>
    </row>
    <row r="484" ht="15.75" customHeight="1">
      <c r="DV484" s="193"/>
    </row>
    <row r="485" ht="15.75" customHeight="1">
      <c r="DV485" s="193"/>
    </row>
    <row r="486" ht="15.75" customHeight="1">
      <c r="DV486" s="193"/>
    </row>
    <row r="487" ht="15.75" customHeight="1">
      <c r="DV487" s="193"/>
    </row>
    <row r="488" ht="15.75" customHeight="1">
      <c r="DV488" s="193"/>
    </row>
    <row r="489" ht="15.75" customHeight="1">
      <c r="DV489" s="193"/>
    </row>
    <row r="490" ht="15.75" customHeight="1">
      <c r="DV490" s="193"/>
    </row>
    <row r="491" ht="15.75" customHeight="1">
      <c r="DV491" s="193"/>
    </row>
    <row r="492" ht="15.75" customHeight="1">
      <c r="DV492" s="193"/>
    </row>
    <row r="493" ht="15.75" customHeight="1">
      <c r="DV493" s="193"/>
    </row>
    <row r="494" ht="15.75" customHeight="1">
      <c r="DV494" s="193"/>
    </row>
    <row r="495" ht="15.75" customHeight="1">
      <c r="DV495" s="193"/>
    </row>
    <row r="496" ht="15.75" customHeight="1">
      <c r="DV496" s="193"/>
    </row>
    <row r="497" ht="15.75" customHeight="1">
      <c r="DV497" s="193"/>
    </row>
    <row r="498" ht="15.75" customHeight="1">
      <c r="DV498" s="193"/>
    </row>
    <row r="499" ht="15.75" customHeight="1">
      <c r="DV499" s="193"/>
    </row>
    <row r="500" ht="15.75" customHeight="1">
      <c r="DV500" s="193"/>
    </row>
    <row r="501" ht="15.75" customHeight="1">
      <c r="DV501" s="193"/>
    </row>
    <row r="502" ht="15.75" customHeight="1">
      <c r="DV502" s="193"/>
    </row>
    <row r="503" ht="15.75" customHeight="1">
      <c r="DV503" s="193"/>
    </row>
    <row r="504" ht="15.75" customHeight="1">
      <c r="DV504" s="193"/>
    </row>
    <row r="505" ht="15.75" customHeight="1">
      <c r="DV505" s="193"/>
    </row>
    <row r="506" ht="15.75" customHeight="1">
      <c r="DV506" s="193"/>
    </row>
    <row r="507" ht="15.75" customHeight="1">
      <c r="DV507" s="193"/>
    </row>
    <row r="508" ht="15.75" customHeight="1">
      <c r="DV508" s="193"/>
    </row>
    <row r="509" ht="15.75" customHeight="1">
      <c r="DV509" s="193"/>
    </row>
    <row r="510" ht="15.75" customHeight="1">
      <c r="DV510" s="193"/>
    </row>
    <row r="511" ht="15.75" customHeight="1">
      <c r="DV511" s="193"/>
    </row>
    <row r="512" ht="15.75" customHeight="1">
      <c r="DV512" s="193"/>
    </row>
    <row r="513" ht="15.75" customHeight="1">
      <c r="DV513" s="193"/>
    </row>
    <row r="514" ht="15.75" customHeight="1">
      <c r="DV514" s="193"/>
    </row>
    <row r="515" ht="15.75" customHeight="1">
      <c r="DV515" s="193"/>
    </row>
    <row r="516" ht="15.75" customHeight="1">
      <c r="DV516" s="193"/>
    </row>
    <row r="517" ht="15.75" customHeight="1">
      <c r="DV517" s="193"/>
    </row>
    <row r="518" ht="15.75" customHeight="1">
      <c r="DV518" s="193"/>
    </row>
    <row r="519" ht="15.75" customHeight="1">
      <c r="DV519" s="193"/>
    </row>
    <row r="520" ht="15.75" customHeight="1">
      <c r="DV520" s="193"/>
    </row>
    <row r="521" ht="15.75" customHeight="1">
      <c r="DV521" s="193"/>
    </row>
    <row r="522" ht="15.75" customHeight="1">
      <c r="DV522" s="193"/>
    </row>
    <row r="523" ht="15.75" customHeight="1">
      <c r="DV523" s="193"/>
    </row>
    <row r="524" ht="15.75" customHeight="1">
      <c r="DV524" s="193"/>
    </row>
    <row r="525" ht="15.75" customHeight="1">
      <c r="DV525" s="193"/>
    </row>
    <row r="526" ht="15.75" customHeight="1">
      <c r="DV526" s="193"/>
    </row>
    <row r="527" ht="15.75" customHeight="1">
      <c r="DV527" s="193"/>
    </row>
    <row r="528" ht="15.75" customHeight="1">
      <c r="DV528" s="193"/>
    </row>
    <row r="529" ht="15.75" customHeight="1">
      <c r="DV529" s="193"/>
    </row>
    <row r="530" ht="15.75" customHeight="1">
      <c r="DV530" s="193"/>
    </row>
    <row r="531" ht="15.75" customHeight="1">
      <c r="DV531" s="193"/>
    </row>
    <row r="532" ht="15.75" customHeight="1">
      <c r="DV532" s="193"/>
    </row>
    <row r="533" ht="15.75" customHeight="1">
      <c r="DV533" s="193"/>
    </row>
    <row r="534" ht="15.75" customHeight="1">
      <c r="DV534" s="193"/>
    </row>
    <row r="535" ht="15.75" customHeight="1">
      <c r="DV535" s="193"/>
    </row>
    <row r="536" ht="15.75" customHeight="1">
      <c r="DV536" s="193"/>
    </row>
    <row r="537" ht="15.75" customHeight="1">
      <c r="DV537" s="193"/>
    </row>
    <row r="538" ht="15.75" customHeight="1">
      <c r="DV538" s="193"/>
    </row>
    <row r="539" ht="15.75" customHeight="1">
      <c r="DV539" s="193"/>
    </row>
    <row r="540" ht="15.75" customHeight="1">
      <c r="DV540" s="193"/>
    </row>
    <row r="541" ht="15.75" customHeight="1">
      <c r="DV541" s="193"/>
    </row>
    <row r="542" ht="15.75" customHeight="1">
      <c r="DV542" s="193"/>
    </row>
    <row r="543" ht="15.75" customHeight="1">
      <c r="DV543" s="193"/>
    </row>
    <row r="544" ht="15.75" customHeight="1">
      <c r="DV544" s="193"/>
    </row>
    <row r="545" ht="15.75" customHeight="1">
      <c r="DV545" s="193"/>
    </row>
    <row r="546" ht="15.75" customHeight="1">
      <c r="DV546" s="193"/>
    </row>
    <row r="547" ht="15.75" customHeight="1">
      <c r="DV547" s="193"/>
    </row>
    <row r="548" ht="15.75" customHeight="1">
      <c r="DV548" s="193"/>
    </row>
    <row r="549" ht="15.75" customHeight="1">
      <c r="DV549" s="193"/>
    </row>
    <row r="550" ht="15.75" customHeight="1">
      <c r="DV550" s="193"/>
    </row>
    <row r="551" ht="15.75" customHeight="1">
      <c r="DV551" s="193"/>
    </row>
    <row r="552" ht="15.75" customHeight="1">
      <c r="DV552" s="193"/>
    </row>
    <row r="553" ht="15.75" customHeight="1">
      <c r="DV553" s="193"/>
    </row>
    <row r="554" ht="15.75" customHeight="1">
      <c r="DV554" s="193"/>
    </row>
    <row r="555" ht="15.75" customHeight="1">
      <c r="DV555" s="193"/>
    </row>
    <row r="556" ht="15.75" customHeight="1">
      <c r="DV556" s="193"/>
    </row>
    <row r="557" ht="15.75" customHeight="1">
      <c r="DV557" s="193"/>
    </row>
    <row r="558" ht="15.75" customHeight="1">
      <c r="DV558" s="193"/>
    </row>
    <row r="559" ht="15.75" customHeight="1">
      <c r="DV559" s="193"/>
    </row>
    <row r="560" ht="15.75" customHeight="1">
      <c r="DV560" s="193"/>
    </row>
    <row r="561" ht="15.75" customHeight="1">
      <c r="DV561" s="193"/>
    </row>
    <row r="562" ht="15.75" customHeight="1">
      <c r="DV562" s="193"/>
    </row>
    <row r="563" ht="15.75" customHeight="1">
      <c r="DV563" s="193"/>
    </row>
    <row r="564" ht="15.75" customHeight="1">
      <c r="DV564" s="193"/>
    </row>
    <row r="565" ht="15.75" customHeight="1">
      <c r="DV565" s="193"/>
    </row>
    <row r="566" ht="15.75" customHeight="1">
      <c r="DV566" s="193"/>
    </row>
    <row r="567" ht="15.75" customHeight="1">
      <c r="DV567" s="193"/>
    </row>
    <row r="568" ht="15.75" customHeight="1">
      <c r="DV568" s="193"/>
    </row>
    <row r="569" ht="15.75" customHeight="1">
      <c r="DV569" s="193"/>
    </row>
    <row r="570" ht="15.75" customHeight="1">
      <c r="DV570" s="193"/>
    </row>
    <row r="571" ht="15.75" customHeight="1">
      <c r="DV571" s="193"/>
    </row>
    <row r="572" ht="15.75" customHeight="1">
      <c r="DV572" s="193"/>
    </row>
    <row r="573" ht="15.75" customHeight="1">
      <c r="DV573" s="193"/>
    </row>
    <row r="574" ht="15.75" customHeight="1">
      <c r="DV574" s="193"/>
    </row>
    <row r="575" ht="15.75" customHeight="1">
      <c r="DV575" s="193"/>
    </row>
    <row r="576" ht="15.75" customHeight="1">
      <c r="DV576" s="193"/>
    </row>
    <row r="577" ht="15.75" customHeight="1">
      <c r="DV577" s="193"/>
    </row>
    <row r="578" ht="15.75" customHeight="1">
      <c r="DV578" s="193"/>
    </row>
    <row r="579" ht="15.75" customHeight="1">
      <c r="DV579" s="193"/>
    </row>
    <row r="580" ht="15.75" customHeight="1">
      <c r="DV580" s="193"/>
    </row>
    <row r="581" ht="15.75" customHeight="1">
      <c r="DV581" s="193"/>
    </row>
    <row r="582" ht="15.75" customHeight="1">
      <c r="DV582" s="193"/>
    </row>
    <row r="583" ht="15.75" customHeight="1">
      <c r="DV583" s="193"/>
    </row>
    <row r="584" ht="15.75" customHeight="1">
      <c r="DV584" s="193"/>
    </row>
    <row r="585" ht="15.75" customHeight="1">
      <c r="DV585" s="193"/>
    </row>
    <row r="586" ht="15.75" customHeight="1">
      <c r="DV586" s="193"/>
    </row>
    <row r="587" ht="15.75" customHeight="1">
      <c r="DV587" s="193"/>
    </row>
    <row r="588" ht="15.75" customHeight="1">
      <c r="DV588" s="193"/>
    </row>
    <row r="589" ht="15.75" customHeight="1">
      <c r="DV589" s="193"/>
    </row>
    <row r="590" ht="15.75" customHeight="1">
      <c r="DV590" s="193"/>
    </row>
    <row r="591" ht="15.75" customHeight="1">
      <c r="DV591" s="193"/>
    </row>
    <row r="592" ht="15.75" customHeight="1">
      <c r="DV592" s="193"/>
    </row>
    <row r="593" ht="15.75" customHeight="1">
      <c r="DV593" s="193"/>
    </row>
    <row r="594" ht="15.75" customHeight="1">
      <c r="DV594" s="193"/>
    </row>
    <row r="595" ht="15.75" customHeight="1">
      <c r="DV595" s="193"/>
    </row>
    <row r="596" ht="15.75" customHeight="1">
      <c r="DV596" s="193"/>
    </row>
    <row r="597" ht="15.75" customHeight="1">
      <c r="DV597" s="193"/>
    </row>
    <row r="598" ht="15.75" customHeight="1">
      <c r="DV598" s="193"/>
    </row>
    <row r="599" ht="15.75" customHeight="1">
      <c r="DV599" s="193"/>
    </row>
    <row r="600" ht="15.75" customHeight="1">
      <c r="DV600" s="193"/>
    </row>
    <row r="601" ht="15.75" customHeight="1">
      <c r="DV601" s="193"/>
    </row>
    <row r="602" ht="15.75" customHeight="1">
      <c r="DV602" s="193"/>
    </row>
    <row r="603" ht="15.75" customHeight="1">
      <c r="DV603" s="193"/>
    </row>
    <row r="604" ht="15.75" customHeight="1">
      <c r="DV604" s="193"/>
    </row>
    <row r="605" ht="15.75" customHeight="1">
      <c r="DV605" s="193"/>
    </row>
    <row r="606" ht="15.75" customHeight="1">
      <c r="DV606" s="193"/>
    </row>
    <row r="607" ht="15.75" customHeight="1">
      <c r="DV607" s="193"/>
    </row>
    <row r="608" ht="15.75" customHeight="1">
      <c r="DV608" s="193"/>
    </row>
    <row r="609" ht="15.75" customHeight="1">
      <c r="DV609" s="193"/>
    </row>
    <row r="610" ht="15.75" customHeight="1">
      <c r="DV610" s="193"/>
    </row>
    <row r="611" ht="15.75" customHeight="1">
      <c r="DV611" s="193"/>
    </row>
    <row r="612" ht="15.75" customHeight="1">
      <c r="DV612" s="193"/>
    </row>
    <row r="613" ht="15.75" customHeight="1">
      <c r="DV613" s="193"/>
    </row>
    <row r="614" ht="15.75" customHeight="1">
      <c r="DV614" s="193"/>
    </row>
    <row r="615" ht="15.75" customHeight="1">
      <c r="DV615" s="193"/>
    </row>
    <row r="616" ht="15.75" customHeight="1">
      <c r="DV616" s="193"/>
    </row>
    <row r="617" ht="15.75" customHeight="1">
      <c r="DV617" s="193"/>
    </row>
    <row r="618" ht="15.75" customHeight="1">
      <c r="DV618" s="193"/>
    </row>
    <row r="619" ht="15.75" customHeight="1">
      <c r="DV619" s="193"/>
    </row>
    <row r="620" ht="15.75" customHeight="1">
      <c r="DV620" s="193"/>
    </row>
    <row r="621" ht="15.75" customHeight="1">
      <c r="DV621" s="193"/>
    </row>
    <row r="622" ht="15.75" customHeight="1">
      <c r="DV622" s="193"/>
    </row>
    <row r="623" ht="15.75" customHeight="1">
      <c r="DV623" s="193"/>
    </row>
    <row r="624" ht="15.75" customHeight="1">
      <c r="DV624" s="193"/>
    </row>
    <row r="625" ht="15.75" customHeight="1">
      <c r="DV625" s="193"/>
    </row>
    <row r="626" ht="15.75" customHeight="1">
      <c r="DV626" s="193"/>
    </row>
    <row r="627" ht="15.75" customHeight="1">
      <c r="DV627" s="193"/>
    </row>
    <row r="628" ht="15.75" customHeight="1">
      <c r="DV628" s="193"/>
    </row>
    <row r="629" ht="15.75" customHeight="1">
      <c r="DV629" s="193"/>
    </row>
    <row r="630" ht="15.75" customHeight="1">
      <c r="DV630" s="193"/>
    </row>
    <row r="631" ht="15.75" customHeight="1">
      <c r="DV631" s="193"/>
    </row>
    <row r="632" ht="15.75" customHeight="1">
      <c r="DV632" s="193"/>
    </row>
    <row r="633" ht="15.75" customHeight="1">
      <c r="DV633" s="193"/>
    </row>
    <row r="634" ht="15.75" customHeight="1">
      <c r="DV634" s="193"/>
    </row>
    <row r="635" ht="15.75" customHeight="1">
      <c r="DV635" s="193"/>
    </row>
    <row r="636" ht="15.75" customHeight="1">
      <c r="DV636" s="193"/>
    </row>
    <row r="637" ht="15.75" customHeight="1">
      <c r="DV637" s="193"/>
    </row>
    <row r="638" ht="15.75" customHeight="1">
      <c r="DV638" s="193"/>
    </row>
    <row r="639" ht="15.75" customHeight="1">
      <c r="DV639" s="193"/>
    </row>
    <row r="640" ht="15.75" customHeight="1">
      <c r="DV640" s="193"/>
    </row>
    <row r="641" ht="15.75" customHeight="1">
      <c r="DV641" s="193"/>
    </row>
    <row r="642" ht="15.75" customHeight="1">
      <c r="DV642" s="193"/>
    </row>
    <row r="643" ht="15.75" customHeight="1">
      <c r="DV643" s="193"/>
    </row>
    <row r="644" ht="15.75" customHeight="1">
      <c r="DV644" s="193"/>
    </row>
    <row r="645" ht="15.75" customHeight="1">
      <c r="DV645" s="193"/>
    </row>
    <row r="646" ht="15.75" customHeight="1">
      <c r="DV646" s="193"/>
    </row>
    <row r="647" ht="15.75" customHeight="1">
      <c r="DV647" s="193"/>
    </row>
    <row r="648" ht="15.75" customHeight="1">
      <c r="DV648" s="193"/>
    </row>
    <row r="649" ht="15.75" customHeight="1">
      <c r="DV649" s="193"/>
    </row>
    <row r="650" ht="15.75" customHeight="1">
      <c r="DV650" s="193"/>
    </row>
    <row r="651" ht="15.75" customHeight="1">
      <c r="DV651" s="193"/>
    </row>
    <row r="652" ht="15.75" customHeight="1">
      <c r="DV652" s="193"/>
    </row>
    <row r="653" ht="15.75" customHeight="1">
      <c r="DV653" s="193"/>
    </row>
    <row r="654" ht="15.75" customHeight="1">
      <c r="DV654" s="193"/>
    </row>
    <row r="655" ht="15.75" customHeight="1">
      <c r="DV655" s="193"/>
    </row>
    <row r="656" ht="15.75" customHeight="1">
      <c r="DV656" s="193"/>
    </row>
    <row r="657" ht="15.75" customHeight="1">
      <c r="DV657" s="193"/>
    </row>
    <row r="658" ht="15.75" customHeight="1">
      <c r="DV658" s="193"/>
    </row>
    <row r="659" ht="15.75" customHeight="1">
      <c r="DV659" s="193"/>
    </row>
    <row r="660" ht="15.75" customHeight="1">
      <c r="DV660" s="193"/>
    </row>
    <row r="661" ht="15.75" customHeight="1">
      <c r="DV661" s="193"/>
    </row>
    <row r="662" ht="15.75" customHeight="1">
      <c r="DV662" s="193"/>
    </row>
    <row r="663" ht="15.75" customHeight="1">
      <c r="DV663" s="193"/>
    </row>
    <row r="664" ht="15.75" customHeight="1">
      <c r="DV664" s="193"/>
    </row>
    <row r="665" ht="15.75" customHeight="1">
      <c r="DV665" s="193"/>
    </row>
    <row r="666" ht="15.75" customHeight="1">
      <c r="DV666" s="193"/>
    </row>
    <row r="667" ht="15.75" customHeight="1">
      <c r="DV667" s="193"/>
    </row>
    <row r="668" ht="15.75" customHeight="1">
      <c r="DV668" s="193"/>
    </row>
    <row r="669" ht="15.75" customHeight="1">
      <c r="DV669" s="193"/>
    </row>
    <row r="670" ht="15.75" customHeight="1">
      <c r="DV670" s="193"/>
    </row>
    <row r="671" ht="15.75" customHeight="1">
      <c r="DV671" s="193"/>
    </row>
    <row r="672" ht="15.75" customHeight="1">
      <c r="DV672" s="193"/>
    </row>
    <row r="673" ht="15.75" customHeight="1">
      <c r="DV673" s="193"/>
    </row>
    <row r="674" ht="15.75" customHeight="1">
      <c r="DV674" s="193"/>
    </row>
    <row r="675" ht="15.75" customHeight="1">
      <c r="DV675" s="193"/>
    </row>
    <row r="676" ht="15.75" customHeight="1">
      <c r="DV676" s="193"/>
    </row>
    <row r="677" ht="15.75" customHeight="1">
      <c r="DV677" s="193"/>
    </row>
    <row r="678" ht="15.75" customHeight="1">
      <c r="DV678" s="193"/>
    </row>
    <row r="679" ht="15.75" customHeight="1">
      <c r="DV679" s="193"/>
    </row>
    <row r="680" ht="15.75" customHeight="1">
      <c r="DV680" s="193"/>
    </row>
    <row r="681" ht="15.75" customHeight="1">
      <c r="DV681" s="193"/>
    </row>
    <row r="682" ht="15.75" customHeight="1">
      <c r="DV682" s="193"/>
    </row>
    <row r="683" ht="15.75" customHeight="1">
      <c r="DV683" s="193"/>
    </row>
    <row r="684" ht="15.75" customHeight="1">
      <c r="DV684" s="193"/>
    </row>
    <row r="685" ht="15.75" customHeight="1">
      <c r="DV685" s="193"/>
    </row>
    <row r="686" ht="15.75" customHeight="1">
      <c r="DV686" s="193"/>
    </row>
    <row r="687" ht="15.75" customHeight="1">
      <c r="DV687" s="193"/>
    </row>
    <row r="688" ht="15.75" customHeight="1">
      <c r="DV688" s="193"/>
    </row>
    <row r="689" ht="15.75" customHeight="1">
      <c r="DV689" s="193"/>
    </row>
    <row r="690" ht="15.75" customHeight="1">
      <c r="DV690" s="193"/>
    </row>
    <row r="691" ht="15.75" customHeight="1">
      <c r="DV691" s="193"/>
    </row>
    <row r="692" ht="15.75" customHeight="1">
      <c r="DV692" s="193"/>
    </row>
    <row r="693" ht="15.75" customHeight="1">
      <c r="DV693" s="193"/>
    </row>
    <row r="694" ht="15.75" customHeight="1">
      <c r="DV694" s="193"/>
    </row>
    <row r="695" ht="15.75" customHeight="1">
      <c r="DV695" s="193"/>
    </row>
    <row r="696" ht="15.75" customHeight="1">
      <c r="DV696" s="193"/>
    </row>
    <row r="697" ht="15.75" customHeight="1">
      <c r="DV697" s="193"/>
    </row>
    <row r="698" ht="15.75" customHeight="1">
      <c r="DV698" s="193"/>
    </row>
    <row r="699" ht="15.75" customHeight="1">
      <c r="DV699" s="193"/>
    </row>
    <row r="700" ht="15.75" customHeight="1">
      <c r="DV700" s="193"/>
    </row>
    <row r="701" ht="15.75" customHeight="1">
      <c r="DV701" s="193"/>
    </row>
    <row r="702" ht="15.75" customHeight="1">
      <c r="DV702" s="193"/>
    </row>
    <row r="703" ht="15.75" customHeight="1">
      <c r="DV703" s="193"/>
    </row>
    <row r="704" ht="15.75" customHeight="1">
      <c r="DV704" s="193"/>
    </row>
    <row r="705" ht="15.75" customHeight="1">
      <c r="DV705" s="193"/>
    </row>
    <row r="706" ht="15.75" customHeight="1">
      <c r="DV706" s="193"/>
    </row>
    <row r="707" ht="15.75" customHeight="1">
      <c r="DV707" s="193"/>
    </row>
    <row r="708" ht="15.75" customHeight="1">
      <c r="DV708" s="193"/>
    </row>
    <row r="709" ht="15.75" customHeight="1">
      <c r="DV709" s="193"/>
    </row>
    <row r="710" ht="15.75" customHeight="1">
      <c r="DV710" s="193"/>
    </row>
    <row r="711" ht="15.75" customHeight="1">
      <c r="DV711" s="193"/>
    </row>
    <row r="712" ht="15.75" customHeight="1">
      <c r="DV712" s="193"/>
    </row>
    <row r="713" ht="15.75" customHeight="1">
      <c r="DV713" s="193"/>
    </row>
    <row r="714" ht="15.75" customHeight="1">
      <c r="DV714" s="193"/>
    </row>
    <row r="715" ht="15.75" customHeight="1">
      <c r="DV715" s="193"/>
    </row>
    <row r="716" ht="15.75" customHeight="1">
      <c r="DV716" s="193"/>
    </row>
    <row r="717" ht="15.75" customHeight="1">
      <c r="DV717" s="193"/>
    </row>
    <row r="718" ht="15.75" customHeight="1">
      <c r="DV718" s="193"/>
    </row>
    <row r="719" ht="15.75" customHeight="1">
      <c r="DV719" s="193"/>
    </row>
    <row r="720" ht="15.75" customHeight="1">
      <c r="DV720" s="193"/>
    </row>
    <row r="721" ht="15.75" customHeight="1">
      <c r="DV721" s="193"/>
    </row>
    <row r="722" ht="15.75" customHeight="1">
      <c r="DV722" s="193"/>
    </row>
    <row r="723" ht="15.75" customHeight="1">
      <c r="DV723" s="193"/>
    </row>
    <row r="724" ht="15.75" customHeight="1">
      <c r="DV724" s="193"/>
    </row>
    <row r="725" ht="15.75" customHeight="1">
      <c r="DV725" s="193"/>
    </row>
    <row r="726" ht="15.75" customHeight="1">
      <c r="DV726" s="193"/>
    </row>
    <row r="727" ht="15.75" customHeight="1">
      <c r="DV727" s="193"/>
    </row>
    <row r="728" ht="15.75" customHeight="1">
      <c r="DV728" s="193"/>
    </row>
    <row r="729" ht="15.75" customHeight="1">
      <c r="DV729" s="193"/>
    </row>
    <row r="730" ht="15.75" customHeight="1">
      <c r="DV730" s="193"/>
    </row>
    <row r="731" ht="15.75" customHeight="1">
      <c r="DV731" s="193"/>
    </row>
    <row r="732" ht="15.75" customHeight="1">
      <c r="DV732" s="193"/>
    </row>
    <row r="733" ht="15.75" customHeight="1">
      <c r="DV733" s="193"/>
    </row>
    <row r="734" ht="15.75" customHeight="1">
      <c r="DV734" s="193"/>
    </row>
    <row r="735" ht="15.75" customHeight="1">
      <c r="DV735" s="193"/>
    </row>
    <row r="736" ht="15.75" customHeight="1">
      <c r="DV736" s="193"/>
    </row>
    <row r="737" ht="15.75" customHeight="1">
      <c r="DV737" s="193"/>
    </row>
    <row r="738" ht="15.75" customHeight="1">
      <c r="DV738" s="193"/>
    </row>
    <row r="739" ht="15.75" customHeight="1">
      <c r="DV739" s="193"/>
    </row>
    <row r="740" ht="15.75" customHeight="1">
      <c r="DV740" s="193"/>
    </row>
    <row r="741" ht="15.75" customHeight="1">
      <c r="DV741" s="193"/>
    </row>
    <row r="742" ht="15.75" customHeight="1">
      <c r="DV742" s="193"/>
    </row>
    <row r="743" ht="15.75" customHeight="1">
      <c r="DV743" s="193"/>
    </row>
    <row r="744" ht="15.75" customHeight="1">
      <c r="DV744" s="193"/>
    </row>
    <row r="745" ht="15.75" customHeight="1">
      <c r="DV745" s="193"/>
    </row>
    <row r="746" ht="15.75" customHeight="1">
      <c r="DV746" s="193"/>
    </row>
    <row r="747" ht="15.75" customHeight="1">
      <c r="DV747" s="193"/>
    </row>
    <row r="748" ht="15.75" customHeight="1">
      <c r="DV748" s="193"/>
    </row>
    <row r="749" ht="15.75" customHeight="1">
      <c r="DV749" s="193"/>
    </row>
    <row r="750" ht="15.75" customHeight="1">
      <c r="DV750" s="193"/>
    </row>
    <row r="751" ht="15.75" customHeight="1">
      <c r="DV751" s="193"/>
    </row>
    <row r="752" ht="15.75" customHeight="1">
      <c r="DV752" s="193"/>
    </row>
    <row r="753" ht="15.75" customHeight="1">
      <c r="DV753" s="193"/>
    </row>
    <row r="754" ht="15.75" customHeight="1">
      <c r="DV754" s="193"/>
    </row>
    <row r="755" ht="15.75" customHeight="1">
      <c r="DV755" s="193"/>
    </row>
    <row r="756" ht="15.75" customHeight="1">
      <c r="DV756" s="193"/>
    </row>
    <row r="757" ht="15.75" customHeight="1">
      <c r="DV757" s="193"/>
    </row>
    <row r="758" ht="15.75" customHeight="1">
      <c r="DV758" s="193"/>
    </row>
    <row r="759" ht="15.75" customHeight="1">
      <c r="DV759" s="193"/>
    </row>
    <row r="760" ht="15.75" customHeight="1">
      <c r="DV760" s="193"/>
    </row>
    <row r="761" ht="15.75" customHeight="1">
      <c r="DV761" s="193"/>
    </row>
    <row r="762" ht="15.75" customHeight="1">
      <c r="DV762" s="193"/>
    </row>
    <row r="763" ht="15.75" customHeight="1">
      <c r="DV763" s="193"/>
    </row>
    <row r="764" ht="15.75" customHeight="1">
      <c r="DV764" s="193"/>
    </row>
    <row r="765" ht="15.75" customHeight="1">
      <c r="DV765" s="193"/>
    </row>
    <row r="766" ht="15.75" customHeight="1">
      <c r="DV766" s="193"/>
    </row>
    <row r="767" ht="15.75" customHeight="1">
      <c r="DV767" s="193"/>
    </row>
    <row r="768" ht="15.75" customHeight="1">
      <c r="DV768" s="193"/>
    </row>
    <row r="769" ht="15.75" customHeight="1">
      <c r="DV769" s="193"/>
    </row>
    <row r="770" ht="15.75" customHeight="1">
      <c r="DV770" s="193"/>
    </row>
    <row r="771" ht="15.75" customHeight="1">
      <c r="DV771" s="193"/>
    </row>
    <row r="772" ht="15.75" customHeight="1">
      <c r="DV772" s="193"/>
    </row>
    <row r="773" ht="15.75" customHeight="1">
      <c r="DV773" s="193"/>
    </row>
    <row r="774" ht="15.75" customHeight="1">
      <c r="DV774" s="193"/>
    </row>
    <row r="775" ht="15.75" customHeight="1">
      <c r="DV775" s="193"/>
    </row>
    <row r="776" ht="15.75" customHeight="1">
      <c r="DV776" s="193"/>
    </row>
    <row r="777" ht="15.75" customHeight="1">
      <c r="DV777" s="193"/>
    </row>
    <row r="778" ht="15.75" customHeight="1">
      <c r="DV778" s="193"/>
    </row>
    <row r="779" ht="15.75" customHeight="1">
      <c r="DV779" s="193"/>
    </row>
    <row r="780" ht="15.75" customHeight="1">
      <c r="DV780" s="193"/>
    </row>
    <row r="781" ht="15.75" customHeight="1">
      <c r="DV781" s="193"/>
    </row>
    <row r="782" ht="15.75" customHeight="1">
      <c r="DV782" s="193"/>
    </row>
    <row r="783" ht="15.75" customHeight="1">
      <c r="DV783" s="193"/>
    </row>
    <row r="784" ht="15.75" customHeight="1">
      <c r="DV784" s="193"/>
    </row>
    <row r="785" ht="15.75" customHeight="1">
      <c r="DV785" s="193"/>
    </row>
    <row r="786" ht="15.75" customHeight="1">
      <c r="DV786" s="193"/>
    </row>
    <row r="787" ht="15.75" customHeight="1">
      <c r="DV787" s="193"/>
    </row>
    <row r="788" ht="15.75" customHeight="1">
      <c r="DV788" s="193"/>
    </row>
    <row r="789" ht="15.75" customHeight="1">
      <c r="DV789" s="193"/>
    </row>
    <row r="790" ht="15.75" customHeight="1">
      <c r="DV790" s="193"/>
    </row>
    <row r="791" ht="15.75" customHeight="1">
      <c r="DV791" s="193"/>
    </row>
    <row r="792" ht="15.75" customHeight="1">
      <c r="DV792" s="193"/>
    </row>
    <row r="793" ht="15.75" customHeight="1">
      <c r="DV793" s="193"/>
    </row>
    <row r="794" ht="15.75" customHeight="1">
      <c r="DV794" s="193"/>
    </row>
    <row r="795" ht="15.75" customHeight="1">
      <c r="DV795" s="193"/>
    </row>
    <row r="796" ht="15.75" customHeight="1">
      <c r="DV796" s="193"/>
    </row>
    <row r="797" ht="15.75" customHeight="1">
      <c r="DV797" s="193"/>
    </row>
    <row r="798" ht="15.75" customHeight="1">
      <c r="DV798" s="193"/>
    </row>
    <row r="799" ht="15.75" customHeight="1">
      <c r="DV799" s="193"/>
    </row>
    <row r="800" ht="15.75" customHeight="1">
      <c r="DV800" s="193"/>
    </row>
    <row r="801" ht="15.75" customHeight="1">
      <c r="DV801" s="193"/>
    </row>
    <row r="802" ht="15.75" customHeight="1">
      <c r="DV802" s="193"/>
    </row>
    <row r="803" ht="15.75" customHeight="1">
      <c r="DV803" s="193"/>
    </row>
    <row r="804" ht="15.75" customHeight="1">
      <c r="DV804" s="193"/>
    </row>
    <row r="805" ht="15.75" customHeight="1">
      <c r="DV805" s="193"/>
    </row>
    <row r="806" ht="15.75" customHeight="1">
      <c r="DV806" s="193"/>
    </row>
    <row r="807" ht="15.75" customHeight="1">
      <c r="DV807" s="193"/>
    </row>
    <row r="808" ht="15.75" customHeight="1">
      <c r="DV808" s="193"/>
    </row>
    <row r="809" ht="15.75" customHeight="1">
      <c r="DV809" s="193"/>
    </row>
    <row r="810" ht="15.75" customHeight="1">
      <c r="DV810" s="193"/>
    </row>
    <row r="811" ht="15.75" customHeight="1">
      <c r="DV811" s="193"/>
    </row>
    <row r="812" ht="15.75" customHeight="1">
      <c r="DV812" s="193"/>
    </row>
    <row r="813" ht="15.75" customHeight="1">
      <c r="DV813" s="193"/>
    </row>
    <row r="814" ht="15.75" customHeight="1">
      <c r="DV814" s="193"/>
    </row>
    <row r="815" ht="15.75" customHeight="1">
      <c r="DV815" s="193"/>
    </row>
    <row r="816" ht="15.75" customHeight="1">
      <c r="DV816" s="193"/>
    </row>
    <row r="817" ht="15.75" customHeight="1">
      <c r="DV817" s="193"/>
    </row>
    <row r="818" ht="15.75" customHeight="1">
      <c r="DV818" s="193"/>
    </row>
    <row r="819" ht="15.75" customHeight="1">
      <c r="DV819" s="193"/>
    </row>
    <row r="820" ht="15.75" customHeight="1">
      <c r="DV820" s="193"/>
    </row>
    <row r="821" ht="15.75" customHeight="1">
      <c r="DV821" s="193"/>
    </row>
    <row r="822" ht="15.75" customHeight="1">
      <c r="DV822" s="193"/>
    </row>
    <row r="823" ht="15.75" customHeight="1">
      <c r="DV823" s="193"/>
    </row>
    <row r="824" ht="15.75" customHeight="1">
      <c r="DV824" s="193"/>
    </row>
    <row r="825" ht="15.75" customHeight="1">
      <c r="DV825" s="193"/>
    </row>
    <row r="826" ht="15.75" customHeight="1">
      <c r="DV826" s="193"/>
    </row>
    <row r="827" ht="15.75" customHeight="1">
      <c r="DV827" s="193"/>
    </row>
    <row r="828" ht="15.75" customHeight="1">
      <c r="DV828" s="193"/>
    </row>
    <row r="829" ht="15.75" customHeight="1">
      <c r="DV829" s="193"/>
    </row>
    <row r="830" ht="15.75" customHeight="1">
      <c r="DV830" s="193"/>
    </row>
    <row r="831" ht="15.75" customHeight="1">
      <c r="DV831" s="193"/>
    </row>
    <row r="832" ht="15.75" customHeight="1">
      <c r="DV832" s="193"/>
    </row>
    <row r="833" ht="15.75" customHeight="1">
      <c r="DV833" s="193"/>
    </row>
    <row r="834" ht="15.75" customHeight="1">
      <c r="DV834" s="193"/>
    </row>
    <row r="835" ht="15.75" customHeight="1">
      <c r="DV835" s="193"/>
    </row>
    <row r="836" ht="15.75" customHeight="1">
      <c r="DV836" s="193"/>
    </row>
    <row r="837" ht="15.75" customHeight="1">
      <c r="DV837" s="193"/>
    </row>
    <row r="838" ht="15.75" customHeight="1">
      <c r="DV838" s="193"/>
    </row>
    <row r="839" ht="15.75" customHeight="1">
      <c r="DV839" s="193"/>
    </row>
    <row r="840" ht="15.75" customHeight="1">
      <c r="DV840" s="193"/>
    </row>
    <row r="841" ht="15.75" customHeight="1">
      <c r="DV841" s="193"/>
    </row>
    <row r="842" ht="15.75" customHeight="1">
      <c r="DV842" s="193"/>
    </row>
    <row r="843" ht="15.75" customHeight="1">
      <c r="DV843" s="193"/>
    </row>
    <row r="844" ht="15.75" customHeight="1">
      <c r="DV844" s="193"/>
    </row>
    <row r="845" ht="15.75" customHeight="1">
      <c r="DV845" s="193"/>
    </row>
    <row r="846" ht="15.75" customHeight="1">
      <c r="DV846" s="193"/>
    </row>
    <row r="847" ht="15.75" customHeight="1">
      <c r="DV847" s="193"/>
    </row>
    <row r="848" ht="15.75" customHeight="1">
      <c r="DV848" s="193"/>
    </row>
    <row r="849" ht="15.75" customHeight="1">
      <c r="DV849" s="193"/>
    </row>
    <row r="850" ht="15.75" customHeight="1">
      <c r="DV850" s="193"/>
    </row>
    <row r="851" ht="15.75" customHeight="1">
      <c r="DV851" s="193"/>
    </row>
    <row r="852" ht="15.75" customHeight="1">
      <c r="DV852" s="193"/>
    </row>
    <row r="853" ht="15.75" customHeight="1">
      <c r="DV853" s="193"/>
    </row>
    <row r="854" ht="15.75" customHeight="1">
      <c r="DV854" s="193"/>
    </row>
    <row r="855" ht="15.75" customHeight="1">
      <c r="DV855" s="193"/>
    </row>
    <row r="856" ht="15.75" customHeight="1">
      <c r="DV856" s="193"/>
    </row>
    <row r="857" ht="15.75" customHeight="1">
      <c r="DV857" s="193"/>
    </row>
    <row r="858" ht="15.75" customHeight="1">
      <c r="DV858" s="193"/>
    </row>
    <row r="859" ht="15.75" customHeight="1">
      <c r="DV859" s="193"/>
    </row>
    <row r="860" ht="15.75" customHeight="1">
      <c r="DV860" s="193"/>
    </row>
    <row r="861" ht="15.75" customHeight="1">
      <c r="DV861" s="193"/>
    </row>
    <row r="862" ht="15.75" customHeight="1">
      <c r="DV862" s="193"/>
    </row>
    <row r="863" ht="15.75" customHeight="1">
      <c r="DV863" s="193"/>
    </row>
    <row r="864" ht="15.75" customHeight="1">
      <c r="DV864" s="193"/>
    </row>
    <row r="865" ht="15.75" customHeight="1">
      <c r="DV865" s="193"/>
    </row>
    <row r="866" ht="15.75" customHeight="1">
      <c r="DV866" s="193"/>
    </row>
    <row r="867" ht="15.75" customHeight="1">
      <c r="DV867" s="193"/>
    </row>
    <row r="868" ht="15.75" customHeight="1">
      <c r="DV868" s="193"/>
    </row>
    <row r="869" ht="15.75" customHeight="1">
      <c r="DV869" s="193"/>
    </row>
    <row r="870" ht="15.75" customHeight="1">
      <c r="DV870" s="193"/>
    </row>
    <row r="871" ht="15.75" customHeight="1">
      <c r="DV871" s="193"/>
    </row>
    <row r="872" ht="15.75" customHeight="1">
      <c r="DV872" s="193"/>
    </row>
    <row r="873" ht="15.75" customHeight="1">
      <c r="DV873" s="193"/>
    </row>
    <row r="874" ht="15.75" customHeight="1">
      <c r="DV874" s="193"/>
    </row>
    <row r="875" ht="15.75" customHeight="1">
      <c r="DV875" s="193"/>
    </row>
    <row r="876" ht="15.75" customHeight="1">
      <c r="DV876" s="193"/>
    </row>
    <row r="877" ht="15.75" customHeight="1">
      <c r="DV877" s="193"/>
    </row>
    <row r="878" ht="15.75" customHeight="1">
      <c r="DV878" s="193"/>
    </row>
    <row r="879" ht="15.75" customHeight="1">
      <c r="DV879" s="193"/>
    </row>
    <row r="880" ht="15.75" customHeight="1">
      <c r="DV880" s="193"/>
    </row>
    <row r="881" ht="15.75" customHeight="1">
      <c r="DV881" s="193"/>
    </row>
    <row r="882" ht="15.75" customHeight="1">
      <c r="DV882" s="193"/>
    </row>
    <row r="883" ht="15.75" customHeight="1">
      <c r="DV883" s="193"/>
    </row>
    <row r="884" ht="15.75" customHeight="1">
      <c r="DV884" s="193"/>
    </row>
    <row r="885" ht="15.75" customHeight="1">
      <c r="DV885" s="193"/>
    </row>
    <row r="886" ht="15.75" customHeight="1">
      <c r="DV886" s="193"/>
    </row>
    <row r="887" ht="15.75" customHeight="1">
      <c r="DV887" s="193"/>
    </row>
    <row r="888" ht="15.75" customHeight="1">
      <c r="DV888" s="193"/>
    </row>
    <row r="889" ht="15.75" customHeight="1">
      <c r="DV889" s="193"/>
    </row>
    <row r="890" ht="15.75" customHeight="1">
      <c r="DV890" s="193"/>
    </row>
    <row r="891" ht="15.75" customHeight="1">
      <c r="DV891" s="193"/>
    </row>
    <row r="892" ht="15.75" customHeight="1">
      <c r="DV892" s="193"/>
    </row>
    <row r="893" ht="15.75" customHeight="1">
      <c r="DV893" s="193"/>
    </row>
    <row r="894" ht="15.75" customHeight="1">
      <c r="DV894" s="193"/>
    </row>
    <row r="895" ht="15.75" customHeight="1">
      <c r="DV895" s="193"/>
    </row>
    <row r="896" ht="15.75" customHeight="1">
      <c r="DV896" s="193"/>
    </row>
    <row r="897" ht="15.75" customHeight="1">
      <c r="DV897" s="193"/>
    </row>
    <row r="898" ht="15.75" customHeight="1">
      <c r="DV898" s="193"/>
    </row>
    <row r="899" ht="15.75" customHeight="1">
      <c r="DV899" s="193"/>
    </row>
    <row r="900" ht="15.75" customHeight="1">
      <c r="DV900" s="193"/>
    </row>
    <row r="901" ht="15.75" customHeight="1">
      <c r="DV901" s="193"/>
    </row>
    <row r="902" ht="15.75" customHeight="1">
      <c r="DV902" s="193"/>
    </row>
    <row r="903" ht="15.75" customHeight="1">
      <c r="DV903" s="193"/>
    </row>
    <row r="904" ht="15.75" customHeight="1">
      <c r="DV904" s="193"/>
    </row>
    <row r="905" ht="15.75" customHeight="1">
      <c r="DV905" s="193"/>
    </row>
    <row r="906" ht="15.75" customHeight="1">
      <c r="DV906" s="193"/>
    </row>
    <row r="907" ht="15.75" customHeight="1">
      <c r="DV907" s="193"/>
    </row>
    <row r="908" ht="15.75" customHeight="1">
      <c r="DV908" s="193"/>
    </row>
    <row r="909" ht="15.75" customHeight="1">
      <c r="DV909" s="193"/>
    </row>
    <row r="910" ht="15.75" customHeight="1">
      <c r="DV910" s="193"/>
    </row>
    <row r="911" ht="15.75" customHeight="1">
      <c r="DV911" s="193"/>
    </row>
    <row r="912" ht="15.75" customHeight="1">
      <c r="DV912" s="193"/>
    </row>
    <row r="913" ht="15.75" customHeight="1">
      <c r="DV913" s="193"/>
    </row>
    <row r="914" ht="15.75" customHeight="1">
      <c r="DV914" s="193"/>
    </row>
    <row r="915" ht="15.75" customHeight="1">
      <c r="DV915" s="193"/>
    </row>
    <row r="916" ht="15.75" customHeight="1">
      <c r="DV916" s="193"/>
    </row>
    <row r="917" ht="15.75" customHeight="1">
      <c r="DV917" s="193"/>
    </row>
    <row r="918" ht="15.75" customHeight="1">
      <c r="DV918" s="193"/>
    </row>
    <row r="919" ht="15.75" customHeight="1">
      <c r="DV919" s="193"/>
    </row>
    <row r="920" ht="15.75" customHeight="1">
      <c r="DV920" s="193"/>
    </row>
    <row r="921" ht="15.75" customHeight="1">
      <c r="DV921" s="193"/>
    </row>
    <row r="922" ht="15.75" customHeight="1">
      <c r="DV922" s="193"/>
    </row>
    <row r="923" ht="15.75" customHeight="1">
      <c r="DV923" s="193"/>
    </row>
    <row r="924" ht="15.75" customHeight="1">
      <c r="DV924" s="193"/>
    </row>
    <row r="925" ht="15.75" customHeight="1">
      <c r="DV925" s="193"/>
    </row>
    <row r="926" ht="15.75" customHeight="1">
      <c r="DV926" s="193"/>
    </row>
    <row r="927" ht="15.75" customHeight="1">
      <c r="DV927" s="193"/>
    </row>
    <row r="928" ht="15.75" customHeight="1">
      <c r="DV928" s="193"/>
    </row>
    <row r="929" ht="15.75" customHeight="1">
      <c r="DV929" s="193"/>
    </row>
    <row r="930" ht="15.75" customHeight="1">
      <c r="DV930" s="193"/>
    </row>
    <row r="931" ht="15.75" customHeight="1">
      <c r="DV931" s="193"/>
    </row>
    <row r="932" ht="15.75" customHeight="1">
      <c r="DV932" s="193"/>
    </row>
    <row r="933" ht="15.75" customHeight="1">
      <c r="DV933" s="193"/>
    </row>
    <row r="934" ht="15.75" customHeight="1">
      <c r="DV934" s="193"/>
    </row>
    <row r="935" ht="15.75" customHeight="1">
      <c r="DV935" s="193"/>
    </row>
    <row r="936" ht="15.75" customHeight="1">
      <c r="DV936" s="193"/>
    </row>
    <row r="937" ht="15.75" customHeight="1">
      <c r="DV937" s="193"/>
    </row>
    <row r="938" ht="15.75" customHeight="1">
      <c r="DV938" s="193"/>
    </row>
    <row r="939" ht="15.75" customHeight="1">
      <c r="DV939" s="193"/>
    </row>
    <row r="940" ht="15.75" customHeight="1">
      <c r="DV940" s="193"/>
    </row>
    <row r="941" ht="15.75" customHeight="1">
      <c r="DV941" s="193"/>
    </row>
    <row r="942" ht="15.75" customHeight="1">
      <c r="DV942" s="193"/>
    </row>
    <row r="943" ht="15.75" customHeight="1">
      <c r="DV943" s="193"/>
    </row>
    <row r="944" ht="15.75" customHeight="1">
      <c r="DV944" s="193"/>
    </row>
    <row r="945" ht="15.75" customHeight="1">
      <c r="DV945" s="193"/>
    </row>
    <row r="946" ht="15.75" customHeight="1">
      <c r="DV946" s="193"/>
    </row>
    <row r="947" ht="15.75" customHeight="1">
      <c r="DV947" s="193"/>
    </row>
    <row r="948" ht="15.75" customHeight="1">
      <c r="DV948" s="193"/>
    </row>
    <row r="949" ht="15.75" customHeight="1">
      <c r="DV949" s="193"/>
    </row>
    <row r="950" ht="15.75" customHeight="1">
      <c r="DV950" s="193"/>
    </row>
    <row r="951" ht="15.75" customHeight="1">
      <c r="DV951" s="193"/>
    </row>
    <row r="952" ht="15.75" customHeight="1">
      <c r="DV952" s="193"/>
    </row>
    <row r="953" ht="15.75" customHeight="1">
      <c r="DV953" s="193"/>
    </row>
    <row r="954" ht="15.75" customHeight="1">
      <c r="DV954" s="193"/>
    </row>
    <row r="955" ht="15.75" customHeight="1">
      <c r="DV955" s="193"/>
    </row>
    <row r="956" ht="15.75" customHeight="1">
      <c r="DV956" s="193"/>
    </row>
    <row r="957" ht="15.75" customHeight="1">
      <c r="DV957" s="193"/>
    </row>
    <row r="958" ht="15.75" customHeight="1">
      <c r="DV958" s="193"/>
    </row>
    <row r="959" ht="15.75" customHeight="1">
      <c r="DV959" s="193"/>
    </row>
    <row r="960" ht="15.75" customHeight="1">
      <c r="DV960" s="193"/>
    </row>
    <row r="961" ht="15.75" customHeight="1">
      <c r="DV961" s="193"/>
    </row>
    <row r="962" ht="15.75" customHeight="1">
      <c r="DV962" s="193"/>
    </row>
    <row r="963" ht="15.75" customHeight="1">
      <c r="DV963" s="193"/>
    </row>
    <row r="964" ht="15.75" customHeight="1">
      <c r="DV964" s="193"/>
    </row>
    <row r="965" ht="15.75" customHeight="1">
      <c r="DV965" s="193"/>
    </row>
    <row r="966" ht="15.75" customHeight="1">
      <c r="DV966" s="193"/>
    </row>
    <row r="967" ht="15.75" customHeight="1">
      <c r="DV967" s="193"/>
    </row>
    <row r="968" ht="15.75" customHeight="1">
      <c r="DV968" s="193"/>
    </row>
    <row r="969" ht="15.75" customHeight="1">
      <c r="DV969" s="193"/>
    </row>
    <row r="970" ht="15.75" customHeight="1">
      <c r="DV970" s="193"/>
    </row>
    <row r="971" ht="15.75" customHeight="1">
      <c r="DV971" s="193"/>
    </row>
    <row r="972" ht="15.75" customHeight="1">
      <c r="DV972" s="193"/>
    </row>
    <row r="973" ht="15.75" customHeight="1">
      <c r="DV973" s="193"/>
    </row>
    <row r="974" ht="15.75" customHeight="1">
      <c r="DV974" s="193"/>
    </row>
    <row r="975" ht="15.75" customHeight="1">
      <c r="DV975" s="193"/>
    </row>
    <row r="976" ht="15.75" customHeight="1">
      <c r="DV976" s="193"/>
    </row>
    <row r="977" ht="15.75" customHeight="1">
      <c r="DV977" s="193"/>
    </row>
    <row r="978" ht="15.75" customHeight="1">
      <c r="DV978" s="193"/>
    </row>
    <row r="979" ht="15.75" customHeight="1">
      <c r="DV979" s="193"/>
    </row>
    <row r="980" ht="15.75" customHeight="1">
      <c r="DV980" s="193"/>
    </row>
    <row r="981" ht="15.75" customHeight="1">
      <c r="DV981" s="193"/>
    </row>
    <row r="982" ht="15.75" customHeight="1">
      <c r="DV982" s="193"/>
    </row>
    <row r="983" ht="15.75" customHeight="1">
      <c r="DV983" s="193"/>
    </row>
    <row r="984" ht="15.75" customHeight="1">
      <c r="DV984" s="193"/>
    </row>
  </sheetData>
  <mergeCells count="24">
    <mergeCell ref="DK2:DO2"/>
    <mergeCell ref="DR2:DV2"/>
    <mergeCell ref="C1:AB1"/>
    <mergeCell ref="AE1:BD1"/>
    <mergeCell ref="BG1:CF1"/>
    <mergeCell ref="CI1:DH1"/>
    <mergeCell ref="DK1:DV1"/>
    <mergeCell ref="C2:G2"/>
    <mergeCell ref="J2:N2"/>
    <mergeCell ref="Q2:U2"/>
    <mergeCell ref="X2:AB2"/>
    <mergeCell ref="B67:C67"/>
    <mergeCell ref="AE2:AI2"/>
    <mergeCell ref="AL2:AP2"/>
    <mergeCell ref="AS2:AW2"/>
    <mergeCell ref="AZ2:BD2"/>
    <mergeCell ref="BG2:BK2"/>
    <mergeCell ref="BN2:BR2"/>
    <mergeCell ref="BU2:BY2"/>
    <mergeCell ref="CB2:CF2"/>
    <mergeCell ref="CI2:CM2"/>
    <mergeCell ref="CP2:CT2"/>
    <mergeCell ref="CW2:DA2"/>
    <mergeCell ref="DD2:DH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2012-08-27T20:38:25Z</dcterms:created>
</cp:coreProperties>
</file>